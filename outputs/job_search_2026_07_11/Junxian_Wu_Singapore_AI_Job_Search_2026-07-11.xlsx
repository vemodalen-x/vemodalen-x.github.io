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c3ed610a2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49310412094163"/>
    <x:sheet xmlns:r="http://schemas.openxmlformats.org/officeDocument/2006/relationships" name="Job Pipeline" sheetId="2" r:id="Rd955b0e3e2d642a7"/>
    <x:sheet xmlns:r="http://schemas.openxmlformats.org/officeDocument/2006/relationships" name="Scoring Guide" sheetId="3" r:id="R293b48103484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3">
    <x:font>
      <x:sz val="11"/>
      <x:name val="Carlito"/>
    </x:font>
    <x:font>
      <x:sz val="10"/>
      <x:color rgb="FF26323D"/>
      <x:name val="Aptos"/>
    </x:font>
    <x:font>
      <x:b/>
      <x:sz val="10"/>
      <x:color rgb="FFFFFFFF"/>
      <x:name val="Aptos"/>
    </x:font>
    <x:font>
      <x:sz val="9"/>
      <x:color rgb="FF2563EB"/>
      <x:name val="Aptos"/>
    </x:font>
    <x:font>
      <x:b/>
      <x:sz val="20"/>
      <x:color rgb="FFFFFFFF"/>
      <x:name val="Aptos Display"/>
    </x:font>
    <x:font>
      <x:b/>
      <x:sz val="9"/>
      <x:color rgb="FF5F6B76"/>
      <x:name val="Aptos"/>
    </x:font>
    <x:font>
      <x:b/>
      <x:sz val="22"/>
      <x:color rgb="FF17212B"/>
      <x:name val="Aptos Display"/>
    </x:font>
    <x:font>
      <x:b/>
      <x:sz val="22"/>
      <x:color rgb="FF0F766E"/>
      <x:name val="Aptos Display"/>
    </x:font>
    <x:font>
      <x:b/>
      <x:sz val="22"/>
      <x:color rgb="FF2563EB"/>
      <x:name val="Aptos Display"/>
    </x:font>
    <x:font>
      <x:b/>
      <x:sz val="22"/>
      <x:color rgb="FFB45309"/>
      <x:name val="Aptos Display"/>
    </x:font>
    <x:font>
      <x:b/>
      <x:sz val="11"/>
      <x:color rgb="FFFFFFFF"/>
      <x:name val="Aptos"/>
    </x:font>
    <x:font>
      <x:b/>
      <x:sz val="18"/>
      <x:color rgb="FFFFFFFF"/>
      <x:name val="Aptos Display"/>
    </x:font>
    <x:font>
      <x:sz val="10"/>
      <x:color rgb="FF0F766E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0F766E"/>
      </x:patternFill>
    </x:fill>
    <x:fill>
      <x:patternFill patternType="solid">
        <x:fgColor rgb="FFF4F6F8"/>
      </x:patternFill>
    </x:fill>
    <x:fill>
      <x:patternFill patternType="solid">
        <x:fgColor rgb="FFDDF3EF"/>
      </x:patternFill>
    </x:fill>
    <x:fill>
      <x:patternFill patternType="solid">
        <x:fgColor rgb="FFE7EEFF"/>
      </x:patternFill>
    </x:fill>
    <x:fill>
      <x:patternFill patternType="solid">
        <x:fgColor rgb="FFFEF1D6"/>
      </x:patternFill>
    </x:fill>
    <x:fill>
      <x:patternFill patternType="solid">
        <x:fgColor rgb="FFFFFFFF"/>
      </x:patternFill>
    </x:fill>
  </x:fills>
  <x:borders count="11">
    <x:border/>
    <x:border>
      <x:bottom style="medium">
        <x:color rgb="FF0F766E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200" fontId="1" fillId="0" borderId="2" xfId="0" applyNumberFormat="1" applyFont="1" applyFill="1" applyBorder="1" applyAlignment="1">
      <x:alignment vertical="top"/>
    </x:xf>
    <x:xf numFmtId="200" fontId="1" fillId="0" borderId="3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/>
    </x:xf>
    <x:xf numFmtId="201" fontId="1" fillId="0" borderId="2" xfId="0" applyNumberFormat="1" applyFont="1" applyFill="1" applyBorder="1" applyAlignment="1">
      <x:alignment vertical="top"/>
    </x:xf>
    <x:xf numFmtId="201" fontId="1" fillId="0" borderId="3" xfId="0" applyNumberFormat="1" applyFont="1" applyFill="1" applyBorder="1" applyAlignment="1">
      <x:alignment vertical="top"/>
    </x:xf>
    <x:xf numFmtId="201" fontId="1" fillId="0" borderId="4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horizontal="center" vertical="top"/>
    </x:xf>
    <x:xf numFmtId="0" fontId="1" fillId="0" borderId="3" xfId="0" applyNumberFormat="1" applyFont="1" applyFill="1" applyBorder="1" applyAlignment="1">
      <x:alignment horizontal="center" vertical="top"/>
    </x:xf>
    <x:xf numFmtId="0" fontId="1" fillId="0" borderId="4" xfId="0" applyNumberFormat="1" applyFont="1" applyFill="1" applyBorder="1" applyAlignment="1">
      <x:alignment horizontal="center" vertical="top"/>
    </x:xf>
    <x:xf numFmtId="200" fontId="1" fillId="0" borderId="2" xfId="0" applyNumberFormat="1" applyFont="1" applyFill="1" applyBorder="1" applyAlignment="1">
      <x:alignment horizontal="center" vertical="top"/>
    </x:xf>
    <x:xf numFmtId="201" fontId="1" fillId="0" borderId="2" xfId="0" applyNumberFormat="1" applyFont="1" applyFill="1" applyBorder="1" applyAlignment="1">
      <x:alignment horizontal="center" vertical="top"/>
    </x:xf>
    <x:xf numFmtId="200" fontId="1" fillId="0" borderId="3" xfId="0" applyNumberFormat="1" applyFont="1" applyFill="1" applyBorder="1" applyAlignment="1">
      <x:alignment horizontal="center" vertical="top"/>
    </x:xf>
    <x:xf numFmtId="201" fontId="1" fillId="0" borderId="3" xfId="0" applyNumberFormat="1" applyFont="1" applyFill="1" applyBorder="1" applyAlignment="1">
      <x:alignment horizontal="center" vertical="top"/>
    </x:xf>
    <x:xf numFmtId="200" fontId="1" fillId="0" borderId="4" xfId="0" applyNumberFormat="1" applyFont="1" applyFill="1" applyBorder="1" applyAlignment="1">
      <x:alignment horizontal="center" vertical="top"/>
    </x:xf>
    <x:xf numFmtId="201" fontId="1" fillId="0" borderId="4" xfId="0" applyNumberFormat="1" applyFont="1" applyFill="1" applyBorder="1" applyAlignment="1">
      <x:alignment horizontal="center"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4" xfId="0" applyNumberFormat="1" applyFont="1" applyFill="1" applyBorder="1"/>
    <x:xf numFmtId="0" fontId="5" fillId="4" borderId="6" xfId="0" applyNumberFormat="1" applyFont="1" applyFill="1" applyBorder="1"/>
    <x:xf numFmtId="0" fontId="5" fillId="4" borderId="5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2" xfId="0" applyNumberFormat="1" applyFont="1" applyFill="1" applyBorder="1"/>
    <x:xf numFmtId="0" fontId="6" fillId="4" borderId="10" xfId="0" applyNumberFormat="1" applyFont="1" applyFill="1" applyBorder="1"/>
    <x:xf numFmtId="0" fontId="6" fillId="4" borderId="7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 applyAlignment="1">
      <x:alignment horizontal="center"/>
    </x:xf>
    <x:xf numFmtId="0" fontId="6" fillId="4" borderId="9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4" xfId="0" applyNumberFormat="1" applyFont="1" applyFill="1" applyBorder="1"/>
    <x:xf numFmtId="0" fontId="5" fillId="5" borderId="6" xfId="0" applyNumberFormat="1" applyFont="1" applyFill="1" applyBorder="1"/>
    <x:xf numFmtId="0" fontId="5" fillId="5" borderId="5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/>
    <x:xf numFmtId="0" fontId="7" fillId="5" borderId="10" xfId="0" applyNumberFormat="1" applyFont="1" applyFill="1" applyBorder="1"/>
    <x:xf numFmtId="0" fontId="7" fillId="5" borderId="7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0" fontId="5" fillId="6" borderId="5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2" xfId="0" applyNumberFormat="1" applyFont="1" applyFill="1" applyBorder="1"/>
    <x:xf numFmtId="0" fontId="8" fillId="6" borderId="10" xfId="0" applyNumberFormat="1" applyFont="1" applyFill="1" applyBorder="1"/>
    <x:xf numFmtId="0" fontId="8" fillId="6" borderId="7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8" fillId="6" borderId="9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/>
    <x:xf numFmtId="0" fontId="5" fillId="7" borderId="6" xfId="0" applyNumberFormat="1" applyFont="1" applyFill="1" applyBorder="1"/>
    <x:xf numFmtId="0" fontId="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/>
    </x:xf>
    <x:xf numFmtId="0" fontId="5" fillId="7" borderId="6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5" fillId="7" borderId="6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2" xfId="0" applyNumberFormat="1" applyFont="1" applyFill="1" applyBorder="1"/>
    <x:xf numFmtId="0" fontId="9" fillId="7" borderId="10" xfId="0" applyNumberFormat="1" applyFont="1" applyFill="1" applyBorder="1"/>
    <x:xf numFmtId="0" fontId="9" fillId="7" borderId="7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9" fillId="7" borderId="9" xfId="0" applyNumberFormat="1" applyFont="1" applyFill="1" applyBorder="1" applyAlignment="1">
      <x:alignment horizontal="center"/>
    </x:xf>
    <x:xf numFmtId="0" fontId="9" fillId="7" borderId="2" xfId="0" applyNumberFormat="1" applyFont="1" applyFill="1" applyBorder="1" applyAlignment="1">
      <x:alignment horizontal="center"/>
    </x:xf>
    <x:xf numFmtId="0" fontId="9" fillId="7" borderId="10" xfId="0" applyNumberFormat="1" applyFont="1" applyFill="1" applyBorder="1" applyAlignment="1">
      <x:alignment horizont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0" fontId="9" fillId="7" borderId="1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2" xfId="0" applyNumberFormat="1" applyFont="1" applyFill="1" applyBorder="1"/>
    <x:xf numFmtId="0" fontId="1" fillId="8" borderId="2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0F766E"/>
      </x:font>
      <x:fill>
        <x:patternFill patternType="solid">
          <x:bgColor rgb="FFDDF3EF"/>
        </x:patternFill>
      </x:fill>
    </x:dxf>
    <x:dxf>
      <x:font>
        <x:b/>
        <x:color rgb="FF2563EB"/>
      </x:font>
      <x:fill>
        <x:patternFill patternType="solid">
          <x:bgColor rgb="FFE7EEFF"/>
        </x:patternFill>
      </x:fill>
    </x:dxf>
    <x:dxf>
      <x:font>
        <x:b/>
        <x:color rgb="FFB45309"/>
      </x:font>
      <x:fill>
        <x:patternFill patternType="solid">
          <x:bgColor rgb="FFFEF1D6"/>
        </x:patternFill>
      </x:fill>
    </x:dxf>
    <x:dxf>
      <x:font>
        <x:b/>
        <x:color rgb="FF5F6B76"/>
      </x:font>
      <x:fill>
        <x:patternFill patternType="solid">
          <x:bgColor rgb="FFECEFF2"/>
        </x:patternFill>
      </x:fill>
    </x:dxf>
    <x:dxf>
      <x:font>
        <x:b/>
        <x:color rgb="FFB42318"/>
      </x:font>
      <x:fill>
        <x:patternFill patternType="solid">
          <x:bgColor rgb="FFFDE7E4"/>
        </x:patternFill>
      </x:fill>
    </x:dxf>
    <x:dxf>
      <x:font>
        <x:b/>
        <x:color rgb="FFB45309"/>
      </x:font>
      <x:fill>
        <x:patternFill patternType="solid">
          <x:bgColor rgb="FFFEF1D6"/>
        </x:patternFill>
      </x:fill>
    </x:dxf>
    <x:dxf>
      <x:font>
        <x:b/>
        <x:color rgb="FFB42318"/>
      </x:font>
      <x:fill>
        <x:patternFill patternType="solid">
          <x:bgColor rgb="FFFDE7E4"/>
        </x:patternFill>
      </x:fill>
    </x:dxf>
    <x:dxf>
      <x:font>
        <x:b/>
        <x:color rgb="FF0F766E"/>
      </x:font>
      <x:fill>
        <x:patternFill patternType="solid">
          <x:bgColor rgb="FFDDF3EF"/>
        </x:patternFill>
      </x:fill>
    </x:dxf>
    <x:dxf>
      <x:font>
        <x:b/>
        <x:color rgb="FF2563EB"/>
      </x:font>
      <x:fill>
        <x:patternFill patternType="solid">
          <x:bgColor rgb="FFE7EEFF"/>
        </x:patternFill>
      </x:fill>
    </x:dxf>
    <x:dxf>
      <x:font>
        <x:b/>
        <x:color rgb="FFB42318"/>
      </x:font>
      <x:fill>
        <x:patternFill patternType="solid">
          <x:bgColor rgb="FFFDE7E4"/>
        </x:patternFill>
      </x:fill>
    </x:dxf>
    <x:dxf>
      <x:font>
        <x:b/>
        <x:color rgb="FFB45309"/>
      </x:font>
      <x:fill>
        <x:patternFill patternType="solid">
          <x:bgColor rgb="FFFEF1D6"/>
        </x:patternFill>
      </x:fill>
    </x:dxf>
    <x:dxf>
      <x:font>
        <x:b/>
        <x:color rgb="FF0F766E"/>
      </x:font>
      <x:fill>
        <x:patternFill patternType="solid">
          <x:bgColor rgb="FFDDF3EF"/>
        </x:patternFill>
      </x:fill>
    </x:dxf>
    <x:dxf>
      <x:font>
        <x:b/>
        <x:color rgb="FF2563EB"/>
      </x:font>
      <x:fill>
        <x:patternFill patternType="solid">
          <x:bgColor rgb="FFE7EEFF"/>
        </x:patternFill>
      </x:fill>
    </x:dxf>
    <x:dxf>
      <x:font>
        <x:b/>
        <x:color rgb="FFB45309"/>
      </x:font>
      <x:fill>
        <x:patternFill patternType="solid">
          <x:bgColor rgb="FFFEF1D6"/>
        </x:patternFill>
      </x:fill>
    </x:dxf>
    <x:dxf>
      <x:font>
        <x:b/>
        <x:color rgb="FFB42318"/>
      </x:font>
      <x:fill>
        <x:patternFill patternType="solid">
          <x:bgColor rgb="FF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c32d88bc94059" /><Relationship Type="http://schemas.openxmlformats.org/officeDocument/2006/relationships/theme" Target="/xl/theme/theme1.xml" Id="Rf74ccfb192304557" /><Relationship Type="http://schemas.openxmlformats.org/officeDocument/2006/relationships/sharedStrings" Target="/xl/sharedStrings.xml" Id="R3a1935b9926b4623" /><Relationship Type="http://schemas.openxmlformats.org/officeDocument/2006/relationships/worksheet" Target="/xl/worksheets/sheet1.xml" Id="R0a49310412094163" /><Relationship Type="http://schemas.openxmlformats.org/officeDocument/2006/relationships/worksheet" Target="/xl/worksheets/sheet2.xml" Id="Rd955b0e3e2d642a7" /><Relationship Type="http://schemas.openxmlformats.org/officeDocument/2006/relationships/worksheet" Target="/xl/worksheets/sheet3.xml" Id="R293b4810348442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21bcd848eb40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application funnel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'Dashboard'!$J$11:$J$15</c:f>
              <c:strCache>
                <c:ptCount val="0"/>
              </c:strCache>
            </c:strRef>
          </c:cat>
          <c:val>
            <c:numRef>
              <c:f>'Dashboard'!$K$11:$K$15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9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21bcd848eb40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PipelineTable" displayName="JobPipelineTable" ref="A1:AF35" headerRowCount="1" totalsRowCount="0" totalsRowShown="0">
  <x:autoFilter ref="A1:AF35"/>
  <x:tableColumns count="32">
    <x:tableColumn id="1" name="Practical Rank"/>
    <x:tableColumn id="2" name="Company"/>
    <x:tableColumn id="3" name="Role"/>
    <x:tableColumn id="4" name="Track"/>
    <x:tableColumn id="5" name="Location"/>
    <x:tableColumn id="6" name="Source"/>
    <x:tableColumn id="7" name="Source Status"/>
    <x:tableColumn id="8" name="Posted Age"/>
    <x:tableColumn id="9" name="Estimated Posted Date"/>
    <x:tableColumn id="10" name="Role Alignment /25"/>
    <x:tableColumn id="11" name="Evidence Match /25"/>
    <x:tableColumn id="12" name="Deployment Overlap /20"/>
    <x:tableColumn id="13" name="Seniority Fit /15"/>
    <x:tableColumn id="14" name="Market Upside /10"/>
    <x:tableColumn id="15" name="Access /5"/>
    <x:tableColumn id="16" name="Match Score"/>
    <x:tableColumn id="17" name="Recommendation"/>
    <x:tableColumn id="18" name="Hard Blocker"/>
    <x:tableColumn id="19" name="Why It Fits"/>
    <x:tableColumn id="20" name="Main Gaps"/>
    <x:tableColumn id="21" name="CV Angle"/>
    <x:tableColumn id="22" name="ATS Keywords"/>
    <x:tableColumn id="23" name="Work Mode"/>
    <x:tableColumn id="24" name="Travel"/>
    <x:tableColumn id="25" name="Salary (SGD/month)"/>
    <x:tableColumn id="26" name="Job URL"/>
    <x:tableColumn id="27" name="Checked Date"/>
    <x:tableColumn id="28" name="Application Status"/>
    <x:tableColumn id="29" name="Applied Date"/>
    <x:tableColumn id="30" name="Next Action Date"/>
    <x:tableColumn id="31" name="Contact / Referral"/>
    <x:tableColumn id="3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c35fc6c53344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a0be47bca44f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31" hidden="0" customWidth="1"/>
    <x:col min="4" max="4" width="21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4" hidden="0" customWidth="1"/>
    <x:col min="10" max="10" width="20" hidden="0" customWidth="1"/>
    <x:col min="11" max="11" width="12" hidden="0" customWidth="1"/>
    <x:col min="12" max="12" width="30" hidden="0" customWidth="1"/>
    <x:col min="13" max="13" width="38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38" t="str">
        <x:v>Singapore AI Job Search - Junxian Wu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>
      <x:c r="A3" s="41" t="str">
        <x:v>Target: Forward-Deployed AI, Computer Vision / Edge, Multimodal AI, and ML Systems | Checked 2026-07-11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5">
      <x:c r="A5" s="50" t="str">
        <x:v>ROLES REVIEWED</x:v>
      </x:c>
      <x:c r="B5" s="51" t="str">
        <x:v>ROLES REVIEWED</x:v>
      </x:c>
      <x:c r="C5" s="52" t="str">
        <x:v>ROLES REVIEWED</x:v>
      </x:c>
      <x:c r="E5" s="79" t="str">
        <x:v>APPLY NOW</x:v>
      </x:c>
      <x:c r="F5" s="80" t="str">
        <x:v>APPLY NOW</x:v>
      </x:c>
      <x:c r="G5" s="81" t="str">
        <x:v>APPLY NOW</x:v>
      </x:c>
      <x:c r="I5" s="108" t="str">
        <x:v>TARGETED</x:v>
      </x:c>
      <x:c r="J5" s="109" t="str">
        <x:v>TARGETED</x:v>
      </x:c>
      <x:c r="K5" s="110" t="str">
        <x:v>TARGETED</x:v>
      </x:c>
      <x:c r="M5" s="137" t="str">
        <x:v>VERIFY / BLOCKED</x:v>
      </x:c>
      <x:c r="N5" s="138" t="str">
        <x:v>VERIFY / BLOCKED</x:v>
      </x:c>
      <x:c r="O5" s="139" t="str">
        <x:v>VERIFY / BLOCKED</x:v>
      </x:c>
    </x:row>
    <x:row r="6">
      <x:c r="A6" s="65" t="n">
        <x:f>COUNTA('Job Pipeline'!$B$2:$B$35)</x:f>
        <x:v>34</x:v>
      </x:c>
      <x:c r="B6" s="66"/>
      <x:c r="C6" s="67"/>
      <x:c r="E6" s="94" t="n">
        <x:f>COUNTIF('Job Pipeline'!$Q$2:$Q$35,"Apply now")</x:f>
        <x:v>11</x:v>
      </x:c>
      <x:c r="F6" s="95"/>
      <x:c r="G6" s="96"/>
      <x:c r="I6" s="123" t="n">
        <x:f>COUNTIF('Job Pipeline'!$Q$2:$Q$35,"Targeted")</x:f>
        <x:v>13</x:v>
      </x:c>
      <x:c r="J6" s="124"/>
      <x:c r="K6" s="125"/>
      <x:c r="M6" s="152" t="n">
        <x:f>COUNTIF('Job Pipeline'!$Q$2:$Q$35,"Watchlist")+COUNTIF('Job Pipeline'!$Q$2:$Q$35,"Blocked / verify")</x:f>
        <x:v>5</x:v>
      </x:c>
      <x:c r="N6" s="153"/>
      <x:c r="O6" s="154"/>
    </x:row>
    <x:row r="7">
      <x:c r="A7" s="68"/>
      <x:c r="B7" s="69"/>
      <x:c r="C7" s="70"/>
      <x:c r="E7" s="97"/>
      <x:c r="F7" s="98"/>
      <x:c r="G7" s="99"/>
      <x:c r="I7" s="126"/>
      <x:c r="J7" s="127"/>
      <x:c r="K7" s="128"/>
      <x:c r="M7" s="155"/>
      <x:c r="N7" s="156"/>
      <x:c r="O7" s="157"/>
    </x:row>
    <x:row r="10">
      <x:c r="A10" s="159" t="str">
        <x:v>Top 10 practical application order</x:v>
      </x:c>
      <x:c r="B10" s="159"/>
      <x:c r="C10" s="159"/>
      <x:c r="D10" s="159"/>
      <x:c r="E10" s="159"/>
      <x:c r="F10" s="159"/>
      <x:c r="G10" s="159"/>
      <x:c r="H10" s="159"/>
      <x:c r="J10" s="3" t="str">
        <x:v>Recommendation</x:v>
      </x:c>
      <x:c r="K10" s="3" t="str">
        <x:v>Count</x:v>
      </x:c>
    </x:row>
    <x:row r="11">
      <x:c r="A11" s="162" t="str">
        <x:v>Rank</x:v>
      </x:c>
      <x:c r="B11" s="162" t="str">
        <x:v>Company</x:v>
      </x:c>
      <x:c r="C11" s="162" t="str">
        <x:v>Role</x:v>
      </x:c>
      <x:c r="D11" s="162" t="str">
        <x:v>Track</x:v>
      </x:c>
      <x:c r="E11" s="162" t="str">
        <x:v>Score</x:v>
      </x:c>
      <x:c r="F11" s="162" t="str">
        <x:v>Recommendation</x:v>
      </x:c>
      <x:c r="G11" s="162" t="str">
        <x:v>Posted</x:v>
      </x:c>
      <x:c r="H11" s="162" t="str">
        <x:v>Status</x:v>
      </x:c>
      <x:c r="J11" s="163" t="str">
        <x:v>Apply now</x:v>
      </x:c>
      <x:c r="K11" s="163" t="n">
        <x:f>COUNTIF('Job Pipeline'!$Q$2:$Q$35,J11)</x:f>
        <x:v>11</x:v>
      </x:c>
    </x:row>
    <x:row r="12" ht="34" customHeight="1">
      <x:c r="A12" s="169" t="n">
        <x:f>'Job Pipeline'!A2</x:f>
        <x:v>1</x:v>
      </x:c>
      <x:c r="B12" s="26" t="str">
        <x:f>'Job Pipeline'!B2</x:f>
        <x:v>SGInnovate / Polybee</x:v>
      </x:c>
      <x:c r="C12" s="26" t="str">
        <x:f>'Job Pipeline'!C2</x:f>
        <x:v>Computer Vision Engineer</x:v>
      </x:c>
      <x:c r="D12" s="26" t="str">
        <x:f>'Job Pipeline'!D2</x:f>
        <x:v>Computer Vision / Edge</x:v>
      </x:c>
      <x:c r="E12" s="169" t="n">
        <x:f>'Job Pipeline'!P2</x:f>
        <x:v>97</x:v>
      </x:c>
      <x:c r="F12" s="169" t="str">
        <x:f>'Job Pipeline'!Q2</x:f>
        <x:v>Apply now</x:v>
      </x:c>
      <x:c r="G12" s="26" t="str">
        <x:f>'Job Pipeline'!H2</x:f>
        <x:v>2 weeks ago</x:v>
      </x:c>
      <x:c r="H12" s="26" t="str">
        <x:f>'Job Pipeline'!G2</x:f>
        <x:v>Apply visible</x:v>
      </x:c>
      <x:c r="J12" s="164" t="str">
        <x:v>Targeted</x:v>
      </x:c>
      <x:c r="K12" s="164" t="n">
        <x:f>COUNTIF('Job Pipeline'!$Q$2:$Q$35,J12)</x:f>
        <x:v>13</x:v>
      </x:c>
    </x:row>
    <x:row r="13" ht="34" customHeight="1">
      <x:c r="A13" s="170" t="n">
        <x:f>'Job Pipeline'!A3</x:f>
        <x:v>2</x:v>
      </x:c>
      <x:c r="B13" s="27" t="str">
        <x:f>'Job Pipeline'!B3</x:f>
        <x:v>Razer</x:v>
      </x:c>
      <x:c r="C13" s="27" t="str">
        <x:f>'Job Pipeline'!C3</x:f>
        <x:v>Senior AI Engineer (Applied)</x:v>
      </x:c>
      <x:c r="D13" s="27" t="str">
        <x:f>'Job Pipeline'!D3</x:f>
        <x:v>Multimodal / Applied AI</x:v>
      </x:c>
      <x:c r="E13" s="170" t="n">
        <x:f>'Job Pipeline'!P3</x:f>
        <x:v>96</x:v>
      </x:c>
      <x:c r="F13" s="170" t="str">
        <x:f>'Job Pipeline'!Q3</x:f>
        <x:v>Apply now</x:v>
      </x:c>
      <x:c r="G13" s="27" t="str">
        <x:f>'Job Pipeline'!H3</x:f>
        <x:v>1 month ago</x:v>
      </x:c>
      <x:c r="H13" s="27" t="str">
        <x:f>'Job Pipeline'!G3</x:f>
        <x:v>Apply visible</x:v>
      </x:c>
      <x:c r="J13" s="164" t="str">
        <x:v>Stretch</x:v>
      </x:c>
      <x:c r="K13" s="164" t="n">
        <x:f>COUNTIF('Job Pipeline'!$Q$2:$Q$35,J13)</x:f>
        <x:v>5</x:v>
      </x:c>
    </x:row>
    <x:row r="14" ht="34" customHeight="1">
      <x:c r="A14" s="170" t="n">
        <x:f>'Job Pipeline'!A4</x:f>
        <x:v>3</x:v>
      </x:c>
      <x:c r="B14" s="27" t="str">
        <x:f>'Job Pipeline'!B4</x:f>
        <x:v>Resaro</x:v>
      </x:c>
      <x:c r="C14" s="27" t="str">
        <x:f>'Job Pipeline'!C4</x:f>
        <x:v>Forward Deployed Engineer</x:v>
      </x:c>
      <x:c r="D14" s="27" t="str">
        <x:f>'Job Pipeline'!D4</x:f>
        <x:v>FDE / Solutions</x:v>
      </x:c>
      <x:c r="E14" s="170" t="n">
        <x:f>'Job Pipeline'!P4</x:f>
        <x:v>94</x:v>
      </x:c>
      <x:c r="F14" s="170" t="str">
        <x:f>'Job Pipeline'!Q4</x:f>
        <x:v>Apply now</x:v>
      </x:c>
      <x:c r="G14" s="27" t="str">
        <x:f>'Job Pipeline'!H4</x:f>
        <x:v>5 days ago</x:v>
      </x:c>
      <x:c r="H14" s="27" t="str">
        <x:f>'Job Pipeline'!G4</x:f>
        <x:v>Apply visible</x:v>
      </x:c>
      <x:c r="J14" s="164" t="str">
        <x:v>Watchlist</x:v>
      </x:c>
      <x:c r="K14" s="164" t="n">
        <x:f>COUNTIF('Job Pipeline'!$Q$2:$Q$35,J14)</x:f>
        <x:v>3</x:v>
      </x:c>
    </x:row>
    <x:row r="15" ht="34" customHeight="1">
      <x:c r="A15" s="170" t="n">
        <x:f>'Job Pipeline'!A5</x:f>
        <x:v>4</x:v>
      </x:c>
      <x:c r="B15" s="27" t="str">
        <x:f>'Job Pipeline'!B5</x:f>
        <x:v>Dyson</x:v>
      </x:c>
      <x:c r="C15" s="27" t="str">
        <x:f>'Job Pipeline'!C5</x:f>
        <x:v>Lead Vision Software Engineer</x:v>
      </x:c>
      <x:c r="D15" s="27" t="str">
        <x:f>'Job Pipeline'!D5</x:f>
        <x:v>Computer Vision / Edge</x:v>
      </x:c>
      <x:c r="E15" s="170" t="n">
        <x:f>'Job Pipeline'!P5</x:f>
        <x:v>93</x:v>
      </x:c>
      <x:c r="F15" s="170" t="str">
        <x:f>'Job Pipeline'!Q5</x:f>
        <x:v>Apply now</x:v>
      </x:c>
      <x:c r="G15" s="27" t="str">
        <x:f>'Job Pipeline'!H5</x:f>
        <x:v>1 day ago</x:v>
      </x:c>
      <x:c r="H15" s="27" t="str">
        <x:f>'Job Pipeline'!G5</x:f>
        <x:v>Apply visible</x:v>
      </x:c>
      <x:c r="J15" s="165" t="str">
        <x:v>Blocked / verify</x:v>
      </x:c>
      <x:c r="K15" s="165" t="n">
        <x:f>COUNTIF('Job Pipeline'!$Q$2:$Q$35,J15)</x:f>
        <x:v>2</x:v>
      </x:c>
    </x:row>
    <x:row r="16" ht="34" customHeight="1">
      <x:c r="A16" s="170" t="n">
        <x:f>'Job Pipeline'!A6</x:f>
        <x:v>5</x:v>
      </x:c>
      <x:c r="B16" s="27" t="str">
        <x:f>'Job Pipeline'!B6</x:f>
        <x:v>Genesis MedTech</x:v>
      </x:c>
      <x:c r="C16" s="27" t="str">
        <x:f>'Job Pipeline'!C6</x:f>
        <x:v>Machine Learning Engineer, Computer Vision</x:v>
      </x:c>
      <x:c r="D16" s="27" t="str">
        <x:f>'Job Pipeline'!D6</x:f>
        <x:v>Computer Vision / Edge</x:v>
      </x:c>
      <x:c r="E16" s="170" t="n">
        <x:f>'Job Pipeline'!P6</x:f>
        <x:v>92</x:v>
      </x:c>
      <x:c r="F16" s="170" t="str">
        <x:f>'Job Pipeline'!Q6</x:f>
        <x:v>Apply now</x:v>
      </x:c>
      <x:c r="G16" s="27" t="str">
        <x:f>'Job Pipeline'!H6</x:f>
        <x:v>3 weeks ago</x:v>
      </x:c>
      <x:c r="H16" s="27" t="str">
        <x:f>'Job Pipeline'!G6</x:f>
        <x:v>Apply visible</x:v>
      </x:c>
    </x:row>
    <x:row r="17" ht="34" customHeight="1">
      <x:c r="A17" s="170" t="n">
        <x:f>'Job Pipeline'!A7</x:f>
        <x:v>6</x:v>
      </x:c>
      <x:c r="B17" s="27" t="str">
        <x:f>'Job Pipeline'!B7</x:f>
        <x:v>ByteDance / BytePlus</x:v>
      </x:c>
      <x:c r="C17" s="27" t="str">
        <x:f>'Job Pipeline'!C7</x:f>
        <x:v>Forward Deployed Engineer - BytePlus</x:v>
      </x:c>
      <x:c r="D17" s="27" t="str">
        <x:f>'Job Pipeline'!D7</x:f>
        <x:v>FDE / Solutions</x:v>
      </x:c>
      <x:c r="E17" s="170" t="n">
        <x:f>'Job Pipeline'!P7</x:f>
        <x:v>92</x:v>
      </x:c>
      <x:c r="F17" s="170" t="str">
        <x:f>'Job Pipeline'!Q7</x:f>
        <x:v>Apply now</x:v>
      </x:c>
      <x:c r="G17" s="27" t="str">
        <x:f>'Job Pipeline'!H7</x:f>
        <x:v>22 days ago</x:v>
      </x:c>
      <x:c r="H17" s="27" t="str">
        <x:f>'Job Pipeline'!G7</x:f>
        <x:v>Apply visible</x:v>
      </x:c>
    </x:row>
    <x:row r="18" ht="34" customHeight="1">
      <x:c r="A18" s="170" t="n">
        <x:f>'Job Pipeline'!A8</x:f>
        <x:v>7</x:v>
      </x:c>
      <x:c r="B18" s="27" t="str">
        <x:f>'Job Pipeline'!B8</x:f>
        <x:v>Arize AI</x:v>
      </x:c>
      <x:c r="C18" s="27" t="str">
        <x:f>'Job Pipeline'!C8</x:f>
        <x:v>Forward Deployed Engineer, APJ</x:v>
      </x:c>
      <x:c r="D18" s="27" t="str">
        <x:f>'Job Pipeline'!D8</x:f>
        <x:v>FDE / Solutions</x:v>
      </x:c>
      <x:c r="E18" s="170" t="n">
        <x:f>'Job Pipeline'!P8</x:f>
        <x:v>91</x:v>
      </x:c>
      <x:c r="F18" s="170" t="str">
        <x:f>'Job Pipeline'!Q8</x:f>
        <x:v>Apply now</x:v>
      </x:c>
      <x:c r="G18" s="27" t="str">
        <x:f>'Job Pipeline'!H8</x:f>
        <x:v>1 month ago</x:v>
      </x:c>
      <x:c r="H18" s="27" t="str">
        <x:f>'Job Pipeline'!G8</x:f>
        <x:v>Apply visible</x:v>
      </x:c>
    </x:row>
    <x:row r="19" ht="34" customHeight="1">
      <x:c r="A19" s="170" t="n">
        <x:f>'Job Pipeline'!A9</x:f>
        <x:v>8</x:v>
      </x:c>
      <x:c r="B19" s="27" t="str">
        <x:f>'Job Pipeline'!B9</x:f>
        <x:v>Cohere</x:v>
      </x:c>
      <x:c r="C19" s="27" t="str">
        <x:f>'Job Pipeline'!C9</x:f>
        <x:v>Forward Deployed Engineer, Agentic Platform</x:v>
      </x:c>
      <x:c r="D19" s="27" t="str">
        <x:f>'Job Pipeline'!D9</x:f>
        <x:v>FDE / Solutions</x:v>
      </x:c>
      <x:c r="E19" s="170" t="n">
        <x:f>'Job Pipeline'!P9</x:f>
        <x:v>90</x:v>
      </x:c>
      <x:c r="F19" s="170" t="str">
        <x:f>'Job Pipeline'!Q9</x:f>
        <x:v>Apply now</x:v>
      </x:c>
      <x:c r="G19" s="27" t="str">
        <x:f>'Job Pipeline'!H9</x:f>
        <x:v>2 days ago (relisted)</x:v>
      </x:c>
      <x:c r="H19" s="27" t="str">
        <x:f>'Job Pipeline'!G9</x:f>
        <x:v>Active page</x:v>
      </x:c>
    </x:row>
    <x:row r="20" ht="34" customHeight="1">
      <x:c r="A20" s="170" t="n">
        <x:f>'Job Pipeline'!A10</x:f>
        <x:v>9</x:v>
      </x:c>
      <x:c r="B20" s="27" t="str">
        <x:f>'Job Pipeline'!B10</x:f>
        <x:v>Google Cloud</x:v>
      </x:c>
      <x:c r="C20" s="27" t="str">
        <x:f>'Job Pipeline'!C10</x:f>
        <x:v>Forward Deployed Engineer III, Applied AI</x:v>
      </x:c>
      <x:c r="D20" s="27" t="str">
        <x:f>'Job Pipeline'!D10</x:f>
        <x:v>FDE / Solutions</x:v>
      </x:c>
      <x:c r="E20" s="170" t="n">
        <x:f>'Job Pipeline'!P10</x:f>
        <x:v>88</x:v>
      </x:c>
      <x:c r="F20" s="170" t="str">
        <x:f>'Job Pipeline'!Q10</x:f>
        <x:v>Apply now</x:v>
      </x:c>
      <x:c r="G20" s="27" t="str">
        <x:f>'Job Pipeline'!H10</x:f>
        <x:v>11 days ago</x:v>
      </x:c>
      <x:c r="H20" s="27" t="str">
        <x:f>'Job Pipeline'!G10</x:f>
        <x:v>Apply visible</x:v>
      </x:c>
    </x:row>
    <x:row r="21" ht="34" customHeight="1">
      <x:c r="A21" s="171" t="n">
        <x:f>'Job Pipeline'!A11</x:f>
        <x:v>10</x:v>
      </x:c>
      <x:c r="B21" s="28" t="str">
        <x:f>'Job Pipeline'!B11</x:f>
        <x:v>OpenAI</x:v>
      </x:c>
      <x:c r="C21" s="28" t="str">
        <x:f>'Job Pipeline'!C11</x:f>
        <x:v>Forward Deployed Engineer - Singapore</x:v>
      </x:c>
      <x:c r="D21" s="28" t="str">
        <x:f>'Job Pipeline'!D11</x:f>
        <x:v>FDE / Solutions</x:v>
      </x:c>
      <x:c r="E21" s="171" t="n">
        <x:f>'Job Pipeline'!P11</x:f>
        <x:v>88</x:v>
      </x:c>
      <x:c r="F21" s="171" t="str">
        <x:f>'Job Pipeline'!Q11</x:f>
        <x:v>Apply now</x:v>
      </x:c>
      <x:c r="G21" s="28" t="str">
        <x:f>'Job Pipeline'!H11</x:f>
        <x:v>1 day ago</x:v>
      </x:c>
      <x:c r="H21" s="28" t="str">
        <x:f>'Job Pipeline'!G11</x:f>
        <x:v>Apply visible</x:v>
      </x:c>
    </x:row>
    <x:row r="24">
      <x:c r="A24" s="158" t="str">
        <x:v>Recommended application sequence</x:v>
      </x:c>
      <x:c r="B24" s="158"/>
      <x:c r="C24" s="158"/>
      <x:c r="D24" s="158"/>
      <x:c r="E24" s="158"/>
      <x:c r="F24" s="158"/>
      <x:c r="G24" s="158"/>
      <x:c r="H24" s="158"/>
      <x:c r="J24" s="158" t="str">
        <x:v>Evidence gaps that affect screening</x:v>
      </x:c>
      <x:c r="K24" s="158"/>
      <x:c r="L24" s="158"/>
      <x:c r="M24" s="158"/>
      <x:c r="N24" s="158"/>
      <x:c r="O24" s="158"/>
      <x:c r="P24" s="158"/>
    </x:row>
    <x:row r="25" ht="36" customHeight="1">
      <x:c r="A25" s="175" t="str">
        <x:v>Week 1: Apply to ranks 1-10 with two CV variants: CV/Edge for Polybee, Dyson, Genesis; FDE/Applied AI for the rest.</x:v>
      </x:c>
      <x:c r="B25" s="175"/>
      <x:c r="C25" s="175"/>
      <x:c r="D25" s="175"/>
      <x:c r="E25" s="175"/>
      <x:c r="F25" s="175"/>
      <x:c r="G25" s="175"/>
      <x:c r="H25" s="175"/>
      <x:c r="J25" s="160" t="str">
        <x:v>Gap</x:v>
      </x:c>
      <x:c r="K25" s="160" t="str">
        <x:v>Priority</x:v>
      </x:c>
      <x:c r="L25" s="160" t="str">
        <x:v>Why</x:v>
      </x:c>
      <x:c r="M25" s="160" t="str">
        <x:v>Next evidence</x:v>
      </x:c>
    </x:row>
    <x:row r="26" ht="44" customHeight="1">
      <x:c r="A26" s="180" t="str">
        <x:v>Week 2: Apply to ranks 11-21 after adding one public cloud-deployed agent/evaluation example and requesting referrals.</x:v>
      </x:c>
      <x:c r="B26" s="180"/>
      <x:c r="C26" s="180"/>
      <x:c r="D26" s="180"/>
      <x:c r="E26" s="180"/>
      <x:c r="F26" s="180"/>
      <x:c r="G26" s="180"/>
      <x:c r="H26" s="180"/>
      <x:c r="J26" s="26" t="str">
        <x:v>Cloud + IaC</x:v>
      </x:c>
      <x:c r="K26" s="26" t="str">
        <x:v>High</x:v>
      </x:c>
      <x:c r="L26" s="26" t="str">
        <x:v>Google/OpenAI/Databricks expect production cloud architecture.</x:v>
      </x:c>
      <x:c r="M26" s="26" t="str">
        <x:v>Deploy one agent/eval service on AWS/GCP with Terraform and observability.</x:v>
      </x:c>
    </x:row>
    <x:row r="27" ht="44" customHeight="1">
      <x:c r="A27" s="175" t="str">
        <x:v>For every application, replace the opening summary with the role's CV Angle and reuse the ATS Keywords naturally.</x:v>
      </x:c>
      <x:c r="B27" s="175"/>
      <x:c r="C27" s="175"/>
      <x:c r="D27" s="175"/>
      <x:c r="E27" s="175"/>
      <x:c r="F27" s="175"/>
      <x:c r="G27" s="175"/>
      <x:c r="H27" s="175"/>
      <x:c r="J27" s="27" t="str">
        <x:v>Customer-facing proof</x:v>
      </x:c>
      <x:c r="K27" s="27" t="str">
        <x:v>High</x:v>
      </x:c>
      <x:c r="L27" s="27" t="str">
        <x:v>FDE screening needs discovery, scoping, and stakeholder evidence.</x:v>
      </x:c>
      <x:c r="M27" s="27" t="str">
        <x:v>Write one public-safe case study as problem -&gt; scope -&gt; build -&gt; acceptance -&gt; handoff.</x:v>
      </x:c>
    </x:row>
    <x:row r="28" ht="44" customHeight="1">
      <x:c r="A28" s="180" t="str">
        <x:v>Do not spend tailoring time on Watchlist or Blocked roles until status or eligibility is confirmed.</x:v>
      </x:c>
      <x:c r="B28" s="180"/>
      <x:c r="C28" s="180"/>
      <x:c r="D28" s="180"/>
      <x:c r="E28" s="180"/>
      <x:c r="F28" s="180"/>
      <x:c r="G28" s="180"/>
      <x:c r="H28" s="180"/>
      <x:c r="J28" s="27" t="str">
        <x:v>Agent/RAG depth</x:v>
      </x:c>
      <x:c r="K28" s="27" t="str">
        <x:v>High</x:v>
      </x:c>
      <x:c r="L28" s="27" t="str">
        <x:v>Many FDE roles require RAG, tool use, and production evals.</x:v>
      </x:c>
      <x:c r="M28" s="27" t="str">
        <x:v>Publish a small RAG/agent repo with traces, retries, eval set, and cost/latency notes.</x:v>
      </x:c>
    </x:row>
    <x:row r="29" ht="44" customHeight="1">
      <x:c r="A29" s="175" t="str">
        <x:v>Track the next action date after every application; follow up once after 5-7 business days when a recruiter/contact is known.</x:v>
      </x:c>
      <x:c r="B29" s="175"/>
      <x:c r="C29" s="175"/>
      <x:c r="D29" s="175"/>
      <x:c r="E29" s="175"/>
      <x:c r="F29" s="175"/>
      <x:c r="G29" s="175"/>
      <x:c r="H29" s="175"/>
      <x:c r="J29" s="27" t="str">
        <x:v>3D/robotics</x:v>
      </x:c>
      <x:c r="K29" s="27" t="str">
        <x:v>Medium</x:v>
      </x:c>
      <x:c r="L29" s="27" t="str">
        <x:v>Needed for Rapsodo, LionsBot, FieldAI, and Phridom.</x:v>
      </x:c>
      <x:c r="M29" s="27" t="str">
        <x:v>Build a ROS2 + RGBD demo only if robotics becomes a committed track.</x:v>
      </x:c>
    </x:row>
    <x:row r="30" ht="44" customHeight="1">
      <x:c r="J30" s="28" t="str">
        <x:v>Quantified outcomes</x:v>
      </x:c>
      <x:c r="K30" s="28" t="str">
        <x:v>High</x:v>
      </x:c>
      <x:c r="L30" s="28" t="str">
        <x:v>Current sanitized CV is credible but light on measurable impact.</x:v>
      </x:c>
      <x:c r="M30" s="28" t="str">
        <x:v>Add public-safe ranges or before/after acceptance improvements where permitted.</x:v>
      </x:c>
    </x:row>
  </x:sheetData>
  <x:mergeCells>
    <x:mergeCell ref="A1:P2"/>
    <x:mergeCell ref="A3:P3"/>
    <x:mergeCell ref="A5:C5"/>
    <x:mergeCell ref="A6:C7"/>
    <x:mergeCell ref="E5:G5"/>
    <x:mergeCell ref="E6:G7"/>
    <x:mergeCell ref="I5:K5"/>
    <x:mergeCell ref="I6:K7"/>
    <x:mergeCell ref="M5:O5"/>
    <x:mergeCell ref="M6:O7"/>
    <x:mergeCell ref="A10:H10"/>
    <x:mergeCell ref="A24:H24"/>
    <x:mergeCell ref="A25:H25"/>
    <x:mergeCell ref="A26:H26"/>
    <x:mergeCell ref="A27:H27"/>
    <x:mergeCell ref="A28:H28"/>
    <x:mergeCell ref="A29:H29"/>
    <x:mergeCell ref="J24:P24"/>
  </x:mergeCells>
  <x:conditionalFormatting sqref="E12:E2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F12:F21">
    <x:cfRule type="containsText" dxfId="7" priority="2" operator="containsText" text="Apply now"/>
    <x:cfRule type="containsText" dxfId="8" priority="3" operator="containsText" text="Targeted"/>
  </x:conditionalFormatting>
  <x:conditionalFormatting sqref="K26:K30">
    <x:cfRule type="containsText" dxfId="9" priority="4" operator="containsText" text="High"/>
    <x:cfRule type="containsText" dxfId="10" priority="5" operator="containsText" text="Medium"/>
  </x:conditionalFormatting>
  <x:pageMargins left="0.7" right="0.7" top="0.75" bottom="0.75" header="0.3" footer="0.3"/>
  <x:drawing xmlns:r="http://schemas.openxmlformats.org/officeDocument/2006/relationships" r:id="Rd8c35fc6c53344b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E12:E21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2" hidden="0" customWidth="1"/>
    <x:col min="4" max="4" width="22" hidden="0" customWidth="1"/>
    <x:col min="5" max="5" width="18" hidden="0" customWidth="1"/>
    <x:col min="6" max="6" width="14" hidden="0" customWidth="1"/>
    <x:col min="7" max="7" width="16" hidden="0" customWidth="1"/>
    <x:col min="8" max="8" width="18" hidden="0" customWidth="1"/>
    <x:col min="9" max="9" width="17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2" hidden="0" customWidth="1"/>
    <x:col min="17" max="17" width="17" hidden="0" customWidth="1"/>
    <x:col min="18" max="18" width="26" hidden="0" customWidth="1"/>
    <x:col min="19" max="19" width="46" hidden="0" customWidth="1"/>
    <x:col min="20" max="20" width="44" hidden="0" customWidth="1"/>
    <x:col min="21" max="21" width="46" hidden="0" customWidth="1"/>
    <x:col min="22" max="22" width="48" hidden="0" customWidth="1"/>
    <x:col min="23" max="23" width="24" hidden="0" customWidth="1"/>
    <x:col min="24" max="24" width="20" hidden="0" customWidth="1"/>
    <x:col min="25" max="25" width="20" hidden="0" customWidth="1"/>
    <x:col min="26" max="26" width="50" hidden="0" customWidth="1"/>
    <x:col min="27" max="27" width="14" hidden="0" customWidth="1"/>
    <x:col min="28" max="28" width="18" hidden="0" customWidth="1"/>
    <x:col min="29" max="29" width="16" hidden="0" customWidth="1"/>
    <x:col min="30" max="30" width="16" hidden="0" customWidth="1"/>
    <x:col min="31" max="31" width="22" hidden="0" customWidth="1"/>
    <x:col min="32" max="32" width="40" hidden="0" customWidth="1"/>
  </x:cols>
  <x:sheetData>
    <x:row r="1" ht="34" customHeight="1">
      <x:c r="A1" s="6" t="str">
        <x:v>Practical Rank</x:v>
      </x:c>
      <x:c r="B1" s="6" t="str">
        <x:v>Company</x:v>
      </x:c>
      <x:c r="C1" s="6" t="str">
        <x:v>Role</x:v>
      </x:c>
      <x:c r="D1" s="6" t="str">
        <x:v>Track</x:v>
      </x:c>
      <x:c r="E1" s="6" t="str">
        <x:v>Location</x:v>
      </x:c>
      <x:c r="F1" s="6" t="str">
        <x:v>Source</x:v>
      </x:c>
      <x:c r="G1" s="6" t="str">
        <x:v>Source Status</x:v>
      </x:c>
      <x:c r="H1" s="6" t="str">
        <x:v>Posted Age</x:v>
      </x:c>
      <x:c r="I1" s="6" t="str">
        <x:v>Estimated Posted Date</x:v>
      </x:c>
      <x:c r="J1" s="6" t="str">
        <x:v>Role Alignment /25</x:v>
      </x:c>
      <x:c r="K1" s="6" t="str">
        <x:v>Evidence Match /25</x:v>
      </x:c>
      <x:c r="L1" s="6" t="str">
        <x:v>Deployment Overlap /20</x:v>
      </x:c>
      <x:c r="M1" s="6" t="str">
        <x:v>Seniority Fit /15</x:v>
      </x:c>
      <x:c r="N1" s="6" t="str">
        <x:v>Market Upside /10</x:v>
      </x:c>
      <x:c r="O1" s="6" t="str">
        <x:v>Access /5</x:v>
      </x:c>
      <x:c r="P1" s="6" t="str">
        <x:v>Match Score</x:v>
      </x:c>
      <x:c r="Q1" s="6" t="str">
        <x:v>Recommendation</x:v>
      </x:c>
      <x:c r="R1" s="6" t="str">
        <x:v>Hard Blocker</x:v>
      </x:c>
      <x:c r="S1" s="6" t="str">
        <x:v>Why It Fits</x:v>
      </x:c>
      <x:c r="T1" s="6" t="str">
        <x:v>Main Gaps</x:v>
      </x:c>
      <x:c r="U1" s="6" t="str">
        <x:v>CV Angle</x:v>
      </x:c>
      <x:c r="V1" s="6" t="str">
        <x:v>ATS Keywords</x:v>
      </x:c>
      <x:c r="W1" s="6" t="str">
        <x:v>Work Mode</x:v>
      </x:c>
      <x:c r="X1" s="6" t="str">
        <x:v>Travel</x:v>
      </x:c>
      <x:c r="Y1" s="6" t="str">
        <x:v>Salary (SGD/month)</x:v>
      </x:c>
      <x:c r="Z1" s="6" t="str">
        <x:v>Job URL</x:v>
      </x:c>
      <x:c r="AA1" s="6" t="str">
        <x:v>Checked Date</x:v>
      </x:c>
      <x:c r="AB1" s="6" t="str">
        <x:v>Application Status</x:v>
      </x:c>
      <x:c r="AC1" s="6" t="str">
        <x:v>Applied Date</x:v>
      </x:c>
      <x:c r="AD1" s="6" t="str">
        <x:v>Next Action Date</x:v>
      </x:c>
      <x:c r="AE1" s="6" t="str">
        <x:v>Contact / Referral</x:v>
      </x:c>
      <x:c r="AF1" s="6" t="str">
        <x:v>Notes</x:v>
      </x:c>
    </x:row>
    <x:row r="2" ht="54" customHeight="1">
      <x:c r="A2" s="17" t="n">
        <x:v>1</x:v>
      </x:c>
      <x:c r="B2" s="8" t="str">
        <x:v>SGInnovate / Polybee</x:v>
      </x:c>
      <x:c r="C2" s="8" t="str">
        <x:v>Computer Vision Engineer</x:v>
      </x:c>
      <x:c r="D2" s="8" t="str">
        <x:v>Computer Vision / Edge</x:v>
      </x:c>
      <x:c r="E2" s="8" t="str">
        <x:v>Singapore</x:v>
      </x:c>
      <x:c r="F2" s="17" t="str">
        <x:v>LinkedIn</x:v>
      </x:c>
      <x:c r="G2" s="17" t="str">
        <x:v>Apply visible</x:v>
      </x:c>
      <x:c r="H2" s="17" t="str">
        <x:v>2 weeks ago</x:v>
      </x:c>
      <x:c r="I2" s="20" t="n">
        <x:v>46200</x:v>
      </x:c>
      <x:c r="J2" s="21" t="n">
        <x:v>25</x:v>
      </x:c>
      <x:c r="K2" s="21" t="n">
        <x:v>24</x:v>
      </x:c>
      <x:c r="L2" s="21" t="n">
        <x:v>20</x:v>
      </x:c>
      <x:c r="M2" s="21" t="n">
        <x:v>15</x:v>
      </x:c>
      <x:c r="N2" s="21" t="n">
        <x:v>8</x:v>
      </x:c>
      <x:c r="O2" s="21" t="n">
        <x:v>5</x:v>
      </x:c>
      <x:c r="P2" s="21" t="n">
        <x:f>SUM(J2:O2)</x:f>
        <x:v>97</x:v>
      </x:c>
      <x:c r="Q2" s="17" t="str">
        <x:f>IF(G2="Closed","Closed",IF(G2="Verify","Watchlist",IF(R2&lt;&gt;"None","Blocked / verify",IF(P2&gt;=88,"Apply now",IF(P2&gt;=80,"Targeted",IF(P2&gt;=70,"Stretch","Skip"))))))</x:f>
        <x:v>Apply now</x:v>
      </x:c>
      <x:c r="R2" s="8" t="str">
        <x:v>None</x:v>
      </x:c>
      <x:c r="S2" s="26" t="str">
        <x:v>Near-direct match for production CV, segmentation, Python/C++, TensorRT/ONNX, data loops, edge constraints, and customer feedback.</x:v>
      </x:c>
      <x:c r="T2" s="26" t="str">
        <x:v>Add explicit MLOps monitoring examples; 3D reconstruction and drone imagery are preferred, not core.</x:v>
      </x:c>
      <x:c r="U2" s="26" t="str">
        <x:v>Lead with model-to-runtime ownership, segmentation/matting, export validation, edge optimization, hard-case data, and field acceptance gates.</x:v>
      </x:c>
      <x:c r="V2" s="26" t="str">
        <x:v>Computer vision; segmentation; Python; C++; TensorRT; ONNX Runtime; MLOps; edge deployment; customer feedback</x:v>
      </x:c>
      <x:c r="W2" s="26" t="str">
        <x:v>Singapore; field/customer collaboration</x:v>
      </x:c>
      <x:c r="X2" s="26" t="str">
        <x:v>Not stated</x:v>
      </x:c>
      <x:c r="Y2" s="26" t="str">
        <x:v>Not disclosed</x:v>
      </x:c>
      <x:c r="Z2" s="32" t="str">
        <x:v>https://sg.linkedin.com/jobs/view/computer-vision-engineer-at-sginnovate-4425072309</x:v>
      </x:c>
      <x:c r="AA2" s="11" t="n">
        <x:v>46214</x:v>
      </x:c>
      <x:c r="AB2" s="8" t="str">
        <x:v>Not started</x:v>
      </x:c>
      <x:c r="AC2" s="11"/>
      <x:c r="AD2" s="11"/>
      <x:c r="AE2" s="8" t="str"/>
      <x:c r="AF2" s="26" t="str">
        <x:v>Best immediate CV role. Apply with the CV-focused version and mention the Automation in Construction paper briefly.</x:v>
      </x:c>
    </x:row>
    <x:row r="3" ht="54" customHeight="1">
      <x:c r="A3" s="18" t="n">
        <x:v>2</x:v>
      </x:c>
      <x:c r="B3" s="9" t="str">
        <x:v>Razer</x:v>
      </x:c>
      <x:c r="C3" s="9" t="str">
        <x:v>Senior AI Engineer (Applied)</x:v>
      </x:c>
      <x:c r="D3" s="9" t="str">
        <x:v>Multimodal / Applied AI</x:v>
      </x:c>
      <x:c r="E3" s="9" t="str">
        <x:v>Singapore</x:v>
      </x:c>
      <x:c r="F3" s="18" t="str">
        <x:v>LinkedIn</x:v>
      </x:c>
      <x:c r="G3" s="18" t="str">
        <x:v>Apply visible</x:v>
      </x:c>
      <x:c r="H3" s="18" t="str">
        <x:v>1 month ago</x:v>
      </x:c>
      <x:c r="I3" s="22" t="n">
        <x:v>46184</x:v>
      </x:c>
      <x:c r="J3" s="23" t="n">
        <x:v>24</x:v>
      </x:c>
      <x:c r="K3" s="23" t="n">
        <x:v>24</x:v>
      </x:c>
      <x:c r="L3" s="23" t="n">
        <x:v>20</x:v>
      </x:c>
      <x:c r="M3" s="23" t="n">
        <x:v>15</x:v>
      </x:c>
      <x:c r="N3" s="23" t="n">
        <x:v>8</x:v>
      </x:c>
      <x:c r="O3" s="23" t="n">
        <x:v>5</x:v>
      </x:c>
      <x:c r="P3" s="23" t="n">
        <x:f>SUM(J3:O3)</x:f>
        <x:v>96</x:v>
      </x:c>
      <x:c r="Q3" s="18" t="str">
        <x:f>IF(G3="Closed","Closed",IF(G3="Verify","Watchlist",IF(R3&lt;&gt;"None","Blocked / verify",IF(P3&gt;=88,"Apply now",IF(P3&gt;=80,"Targeted",IF(P3&gt;=70,"Stretch","Skip"))))))</x:f>
        <x:v>Apply now</x:v>
      </x:c>
      <x:c r="R3" s="9" t="str">
        <x:v>None</x:v>
      </x:c>
      <x:c r="S3" s="27" t="str">
        <x:v>Strong overlap in AI evaluation, benchmarking, vision/GenAI, FastAPI services, Docker, reproducibility, and product trade-offs.</x:v>
      </x:c>
      <x:c r="T3" s="27" t="str">
        <x:v>Make cloud deployment and Kubernetes depth more explicit; current public evidence is stronger on Docker and native runtime.</x:v>
      </x:c>
      <x:c r="U3" s="27" t="str">
        <x:v>Lead with evaluation frameworks, visual failure analysis, structured multimodal workflows, reusable services, and latency/quality trade-offs.</x:v>
      </x:c>
      <x:c r="V3" s="27" t="str">
        <x:v>Applied AI; evaluation; benchmarking; computer vision; GenAI; RAG; agents; FastAPI; Docker; Kubernetes</x:v>
      </x:c>
      <x:c r="W3" s="27" t="str">
        <x:v>Singapore office</x:v>
      </x:c>
      <x:c r="X3" s="27" t="str">
        <x:v>Occasional, up to 1 trip/year</x:v>
      </x:c>
      <x:c r="Y3" s="27" t="str">
        <x:v>Not disclosed</x:v>
      </x:c>
      <x:c r="Z3" s="33" t="str">
        <x:v>https://sg.linkedin.com/jobs/view/senior-ai-engineer-applied-at-razer-4414641003</x:v>
      </x:c>
      <x:c r="AA3" s="12" t="n">
        <x:v>46214</x:v>
      </x:c>
      <x:c r="AB3" s="9" t="str">
        <x:v>Not started</x:v>
      </x:c>
      <x:c r="AC3" s="12"/>
      <x:c r="AD3" s="12"/>
      <x:c r="AE3" s="9" t="str"/>
      <x:c r="AF3" s="27" t="str">
        <x:v>Very good bridge from CV deployment into broader Applied AI without abandoning your strongest evidence.</x:v>
      </x:c>
    </x:row>
    <x:row r="4" ht="54" customHeight="1">
      <x:c r="A4" s="18" t="n">
        <x:v>3</x:v>
      </x:c>
      <x:c r="B4" s="9" t="str">
        <x:v>Resaro</x:v>
      </x:c>
      <x:c r="C4" s="9" t="str">
        <x:v>Forward Deployed Engineer</x:v>
      </x:c>
      <x:c r="D4" s="9" t="str">
        <x:v>FDE / Solutions</x:v>
      </x:c>
      <x:c r="E4" s="9" t="str">
        <x:v>Singapore</x:v>
      </x:c>
      <x:c r="F4" s="18" t="str">
        <x:v>LinkedIn</x:v>
      </x:c>
      <x:c r="G4" s="18" t="str">
        <x:v>Apply visible</x:v>
      </x:c>
      <x:c r="H4" s="18" t="str">
        <x:v>5 days ago</x:v>
      </x:c>
      <x:c r="I4" s="22" t="n">
        <x:v>46209</x:v>
      </x:c>
      <x:c r="J4" s="23" t="n">
        <x:v>24</x:v>
      </x:c>
      <x:c r="K4" s="23" t="n">
        <x:v>23</x:v>
      </x:c>
      <x:c r="L4" s="23" t="n">
        <x:v>19</x:v>
      </x:c>
      <x:c r="M4" s="23" t="n">
        <x:v>14</x:v>
      </x:c>
      <x:c r="N4" s="23" t="n">
        <x:v>9</x:v>
      </x:c>
      <x:c r="O4" s="23" t="n">
        <x:v>5</x:v>
      </x:c>
      <x:c r="P4" s="23" t="n">
        <x:f>SUM(J4:O4)</x:f>
        <x:v>94</x:v>
      </x:c>
      <x:c r="Q4" s="18" t="str">
        <x:f>IF(G4="Closed","Closed",IF(G4="Verify","Watchlist",IF(R4&lt;&gt;"None","Blocked / verify",IF(P4&gt;=88,"Apply now",IF(P4&gt;=80,"Targeted",IF(P4&gt;=70,"Stretch","Skip"))))))</x:f>
        <x:v>Apply now</x:v>
      </x:c>
      <x:c r="R4" s="9" t="str">
        <x:v>None</x:v>
      </x:c>
      <x:c r="S4" s="27" t="str">
        <x:v>Excellent overlap in CV assurance, test plans, acceptance gates, customer deployment, rapid prototypes, integrations, and field feedback.</x:v>
      </x:c>
      <x:c r="T4" s="27" t="str">
        <x:v>Air-gapped/on-prem operations and formal AI assurance language need careful, truthful translation from existing deployment work.</x:v>
      </x:c>
      <x:c r="U4" s="27" t="str">
        <x:v>Frame hard-case taxonomies, model comparison reports, acceptance gates, customer issue triage, and handoff documentation as AI assurance evidence.</x:v>
      </x:c>
      <x:c r="V4" s="27" t="str">
        <x:v>Forward deployed; AI assurance; computer vision; testing; evaluation; on-prem; integration; prototyping; customer deployment</x:v>
      </x:c>
      <x:c r="W4" s="27" t="str">
        <x:v>Embedded/on-site customer environments</x:v>
      </x:c>
      <x:c r="X4" s="27" t="str">
        <x:v>Customer-site work expected</x:v>
      </x:c>
      <x:c r="Y4" s="27" t="str">
        <x:v>Not disclosed</x:v>
      </x:c>
      <x:c r="Z4" s="33" t="str">
        <x:v>https://sg.linkedin.com/jobs/view/forward-deployed-engineer-at-resaro-4429678422</x:v>
      </x:c>
      <x:c r="AA4" s="12" t="n">
        <x:v>46214</x:v>
      </x:c>
      <x:c r="AB4" s="9" t="str">
        <x:v>Not started</x:v>
      </x:c>
      <x:c r="AC4" s="12"/>
      <x:c r="AD4" s="12"/>
      <x:c r="AE4" s="9" t="str"/>
      <x:c r="AF4" s="27" t="str">
        <x:v>One of the cleanest narrative matches. Do not claim air-gapped delivery unless you can evidence it in interview.</x:v>
      </x:c>
    </x:row>
    <x:row r="5" ht="54" customHeight="1">
      <x:c r="A5" s="18" t="n">
        <x:v>4</x:v>
      </x:c>
      <x:c r="B5" s="9" t="str">
        <x:v>Dyson</x:v>
      </x:c>
      <x:c r="C5" s="9" t="str">
        <x:v>Lead Vision Software Engineer</x:v>
      </x:c>
      <x:c r="D5" s="9" t="str">
        <x:v>Computer Vision / Edge</x:v>
      </x:c>
      <x:c r="E5" s="9" t="str">
        <x:v>Singapore</x:v>
      </x:c>
      <x:c r="F5" s="18" t="str">
        <x:v>LinkedIn</x:v>
      </x:c>
      <x:c r="G5" s="18" t="str">
        <x:v>Apply visible</x:v>
      </x:c>
      <x:c r="H5" s="18" t="str">
        <x:v>1 day ago</x:v>
      </x:c>
      <x:c r="I5" s="22" t="n">
        <x:v>46213</x:v>
      </x:c>
      <x:c r="J5" s="23" t="n">
        <x:v>25</x:v>
      </x:c>
      <x:c r="K5" s="23" t="n">
        <x:v>23</x:v>
      </x:c>
      <x:c r="L5" s="23" t="n">
        <x:v>20</x:v>
      </x:c>
      <x:c r="M5" s="23" t="n">
        <x:v>11</x:v>
      </x:c>
      <x:c r="N5" s="23" t="n">
        <x:v>9</x:v>
      </x:c>
      <x:c r="O5" s="23" t="n">
        <x:v>5</x:v>
      </x:c>
      <x:c r="P5" s="23" t="n">
        <x:f>SUM(J5:O5)</x:f>
        <x:v>93</x:v>
      </x:c>
      <x:c r="Q5" s="18" t="str">
        <x:f>IF(G5="Closed","Closed",IF(G5="Verify","Watchlist",IF(R5&lt;&gt;"None","Blocked / verify",IF(P5&gt;=88,"Apply now",IF(P5&gt;=80,"Targeted",IF(P5&gt;=70,"Stretch","Skip"))))))</x:f>
        <x:v>Apply now</x:v>
      </x:c>
      <x:c r="R5" s="9" t="str">
        <x:v>None</x:v>
      </x:c>
      <x:c r="S5" s="27" t="str">
        <x:v>Direct fit for edge vision, C++/Python, segmentation, embedded Linux, model optimization, data workflows, APIs, and technical ownership.</x:v>
      </x:c>
      <x:c r="T5" s="27" t="str">
        <x:v>Role asks for 5+ years and lead-level mentoring; make technical ownership and reusable platform work concrete.</x:v>
      </x:c>
      <x:c r="U5" s="27" t="str">
        <x:v>Use the CV/edge version: C++/Android runtime, TFLite/ONNX/TensorRT, segmentation, model compression, rendering, CI-style release checks.</x:v>
      </x:c>
      <x:c r="V5" s="27" t="str">
        <x:v>Vision software; edge AI; C++; Python; embedded Linux; segmentation; model optimization; MLOps; APIs; technical lead</x:v>
      </x:c>
      <x:c r="W5" s="27" t="str">
        <x:v>Singapore office</x:v>
      </x:c>
      <x:c r="X5" s="27" t="str">
        <x:v>Not stated</x:v>
      </x:c>
      <x:c r="Y5" s="27" t="str">
        <x:v>Not disclosed</x:v>
      </x:c>
      <x:c r="Z5" s="33" t="str">
        <x:v>https://sg.linkedin.com/jobs/view/lead-embedded-software-engineer-at-dyson-4403195930</x:v>
      </x:c>
      <x:c r="AA5" s="12" t="n">
        <x:v>46214</x:v>
      </x:c>
      <x:c r="AB5" s="9" t="str">
        <x:v>Not started</x:v>
      </x:c>
      <x:c r="AC5" s="12"/>
      <x:c r="AD5" s="12"/>
      <x:c r="AE5" s="9" t="str"/>
      <x:c r="AF5" s="27" t="str">
        <x:v>Apply despite the 5+ year line. Your 4+ years plus platform ownership can clear the screen if stated crisply.</x:v>
      </x:c>
    </x:row>
    <x:row r="6" ht="54" customHeight="1">
      <x:c r="A6" s="18" t="n">
        <x:v>5</x:v>
      </x:c>
      <x:c r="B6" s="9" t="str">
        <x:v>Genesis MedTech</x:v>
      </x:c>
      <x:c r="C6" s="9" t="str">
        <x:v>Machine Learning Engineer, Computer Vision</x:v>
      </x:c>
      <x:c r="D6" s="9" t="str">
        <x:v>Computer Vision / Edge</x:v>
      </x:c>
      <x:c r="E6" s="9" t="str">
        <x:v>Singapore</x:v>
      </x:c>
      <x:c r="F6" s="18" t="str">
        <x:v>LinkedIn</x:v>
      </x:c>
      <x:c r="G6" s="18" t="str">
        <x:v>Apply visible</x:v>
      </x:c>
      <x:c r="H6" s="18" t="str">
        <x:v>3 weeks ago</x:v>
      </x:c>
      <x:c r="I6" s="22" t="n">
        <x:v>46193</x:v>
      </x:c>
      <x:c r="J6" s="23" t="n">
        <x:v>24</x:v>
      </x:c>
      <x:c r="K6" s="23" t="n">
        <x:v>23</x:v>
      </x:c>
      <x:c r="L6" s="23" t="n">
        <x:v>18</x:v>
      </x:c>
      <x:c r="M6" s="23" t="n">
        <x:v>15</x:v>
      </x:c>
      <x:c r="N6" s="23" t="n">
        <x:v>8</x:v>
      </x:c>
      <x:c r="O6" s="23" t="n">
        <x:v>4</x:v>
      </x:c>
      <x:c r="P6" s="23" t="n">
        <x:f>SUM(J6:O6)</x:f>
        <x:v>92</x:v>
      </x:c>
      <x:c r="Q6" s="18" t="str">
        <x:f>IF(G6="Closed","Closed",IF(G6="Verify","Watchlist",IF(R6&lt;&gt;"None","Blocked / verify",IF(P6&gt;=88,"Apply now",IF(P6&gt;=80,"Targeted",IF(P6&gt;=70,"Stretch","Skip"))))))</x:f>
        <x:v>Apply now</x:v>
      </x:c>
      <x:c r="R6" s="9" t="str">
        <x:v>None</x:v>
      </x:c>
      <x:c r="S6" s="27" t="str">
        <x:v>Strong match for segmentation, tracking, depth/3D-adjacent work, full ML lifecycle, real-world data, stakeholder discovery, and product delivery.</x:v>
      </x:c>
      <x:c r="T6" s="27" t="str">
        <x:v>No medical-device domain evidence; emphasize rigorous validation and avoid implying clinical experience.</x:v>
      </x:c>
      <x:c r="U6" s="27" t="str">
        <x:v>Lead with segmentation/matting, depth, full lifecycle, validation gates, reproducible data review, and cross-functional productization.</x:v>
      </x:c>
      <x:c r="V6" s="27" t="str">
        <x:v>Digital surgery; computer vision; segmentation; tracking; 3D reconstruction; model lifecycle; validation; Python</x:v>
      </x:c>
      <x:c r="W6" s="27" t="str">
        <x:v>Singapore office</x:v>
      </x:c>
      <x:c r="X6" s="27" t="str">
        <x:v>Not stated</x:v>
      </x:c>
      <x:c r="Y6" s="27" t="str">
        <x:v>Not disclosed</x:v>
      </x:c>
      <x:c r="Z6" s="33" t="str">
        <x:v>https://sg.linkedin.com/jobs/view/machine-learning-engineer-computer-vision-at-genesis-medtech-group-4415996644</x:v>
      </x:c>
      <x:c r="AA6" s="12" t="n">
        <x:v>46214</x:v>
      </x:c>
      <x:c r="AB6" s="9" t="str">
        <x:v>Not started</x:v>
      </x:c>
      <x:c r="AC6" s="12"/>
      <x:c r="AD6" s="12"/>
      <x:c r="AE6" s="9" t="str"/>
      <x:c r="AF6" s="27" t="str">
        <x:v>Master's degree requirement is met. Strong domain-adjacent role with good long-term CV depth.</x:v>
      </x:c>
    </x:row>
    <x:row r="7" ht="54" customHeight="1">
      <x:c r="A7" s="18" t="n">
        <x:v>6</x:v>
      </x:c>
      <x:c r="B7" s="9" t="str">
        <x:v>ByteDance / BytePlus</x:v>
      </x:c>
      <x:c r="C7" s="9" t="str">
        <x:v>Forward Deployed Engineer - BytePlus</x:v>
      </x:c>
      <x:c r="D7" s="9" t="str">
        <x:v>FDE / Solutions</x:v>
      </x:c>
      <x:c r="E7" s="9" t="str">
        <x:v>Singapore</x:v>
      </x:c>
      <x:c r="F7" s="18" t="str">
        <x:v>Jobstreet</x:v>
      </x:c>
      <x:c r="G7" s="18" t="str">
        <x:v>Apply visible</x:v>
      </x:c>
      <x:c r="H7" s="18" t="str">
        <x:v>22 days ago</x:v>
      </x:c>
      <x:c r="I7" s="22" t="n">
        <x:v>46192</x:v>
      </x:c>
      <x:c r="J7" s="23" t="n">
        <x:v>23</x:v>
      </x:c>
      <x:c r="K7" s="23" t="n">
        <x:v>22</x:v>
      </x:c>
      <x:c r="L7" s="23" t="n">
        <x:v>19</x:v>
      </x:c>
      <x:c r="M7" s="23" t="n">
        <x:v>14</x:v>
      </x:c>
      <x:c r="N7" s="23" t="n">
        <x:v>9</x:v>
      </x:c>
      <x:c r="O7" s="23" t="n">
        <x:v>5</x:v>
      </x:c>
      <x:c r="P7" s="23" t="n">
        <x:f>SUM(J7:O7)</x:f>
        <x:v>92</x:v>
      </x:c>
      <x:c r="Q7" s="18" t="str">
        <x:f>IF(G7="Closed","Closed",IF(G7="Verify","Watchlist",IF(R7&lt;&gt;"None","Blocked / verify",IF(P7&gt;=88,"Apply now",IF(P7&gt;=80,"Targeted",IF(P7&gt;=70,"Stretch","Skip"))))))</x:f>
        <x:v>Apply now</x:v>
      </x:c>
      <x:c r="R7" s="9" t="str">
        <x:v>None</x:v>
      </x:c>
      <x:c r="S7" s="27" t="str">
        <x:v>Strong overlap in prototypes-to-production, agent systems, API integration, evaluation/observability, deployment, and customer engineering.</x:v>
      </x:c>
      <x:c r="T7" s="27" t="str">
        <x:v>Strengthen RAG, cloud architecture, and open-source agent framework evidence beyond provider orchestration.</x:v>
      </x:c>
      <x:c r="U7" s="27" t="str">
        <x:v>Emphasize VLM workflow state, retries/fallbacks, eval hooks, reproducible traces, API integration, and deployment handoff.</x:v>
      </x:c>
      <x:c r="V7" s="27" t="str">
        <x:v>Forward deployed; agents; RAG; cloud architecture; evaluation; observability; APIs; production deployment</x:v>
      </x:c>
      <x:c r="W7" s="27" t="str">
        <x:v>Customer environments; Singapore</x:v>
      </x:c>
      <x:c r="X7" s="27" t="str">
        <x:v>Not stated</x:v>
      </x:c>
      <x:c r="Y7" s="27" t="str">
        <x:v>Not disclosed</x:v>
      </x:c>
      <x:c r="Z7" s="33" t="str">
        <x:v>https://sg.jobstreet.com/job/92785033</x:v>
      </x:c>
      <x:c r="AA7" s="12" t="n">
        <x:v>46214</x:v>
      </x:c>
      <x:c r="AB7" s="9" t="str">
        <x:v>Not started</x:v>
      </x:c>
      <x:c r="AC7" s="12"/>
      <x:c r="AD7" s="12"/>
      <x:c r="AE7" s="9" t="str"/>
      <x:c r="AF7" s="27" t="str">
        <x:v>High-value FDE target. Tailor the opening summary away from camera-only language toward AI application delivery.</x:v>
      </x:c>
    </x:row>
    <x:row r="8" ht="54" customHeight="1">
      <x:c r="A8" s="18" t="n">
        <x:v>7</x:v>
      </x:c>
      <x:c r="B8" s="9" t="str">
        <x:v>Arize AI</x:v>
      </x:c>
      <x:c r="C8" s="9" t="str">
        <x:v>Forward Deployed Engineer, APJ</x:v>
      </x:c>
      <x:c r="D8" s="9" t="str">
        <x:v>FDE / Solutions</x:v>
      </x:c>
      <x:c r="E8" s="9" t="str">
        <x:v>Singapore</x:v>
      </x:c>
      <x:c r="F8" s="18" t="str">
        <x:v>LinkedIn</x:v>
      </x:c>
      <x:c r="G8" s="18" t="str">
        <x:v>Apply visible</x:v>
      </x:c>
      <x:c r="H8" s="18" t="str">
        <x:v>1 month ago</x:v>
      </x:c>
      <x:c r="I8" s="22" t="n">
        <x:v>46184</x:v>
      </x:c>
      <x:c r="J8" s="23" t="n">
        <x:v>23</x:v>
      </x:c>
      <x:c r="K8" s="23" t="n">
        <x:v>21</x:v>
      </x:c>
      <x:c r="L8" s="23" t="n">
        <x:v>19</x:v>
      </x:c>
      <x:c r="M8" s="23" t="n">
        <x:v>14</x:v>
      </x:c>
      <x:c r="N8" s="23" t="n">
        <x:v>9</x:v>
      </x:c>
      <x:c r="O8" s="23" t="n">
        <x:v>5</x:v>
      </x:c>
      <x:c r="P8" s="23" t="n">
        <x:f>SUM(J8:O8)</x:f>
        <x:v>91</x:v>
      </x:c>
      <x:c r="Q8" s="18" t="str">
        <x:f>IF(G8="Closed","Closed",IF(G8="Verify","Watchlist",IF(R8&lt;&gt;"None","Blocked / verify",IF(P8&gt;=88,"Apply now",IF(P8&gt;=80,"Targeted",IF(P8&gt;=70,"Stretch","Skip"))))))</x:f>
        <x:v>Apply now</x:v>
      </x:c>
      <x:c r="R8" s="9" t="str">
        <x:v>None</x:v>
      </x:c>
      <x:c r="S8" s="27" t="str">
        <x:v>Excellent alignment with evaluation, observability, failure analysis, reproducible traces, custom integrations, and concurrent customer delivery.</x:v>
      </x:c>
      <x:c r="T8" s="27" t="str">
        <x:v>Add public evidence for GenAI observability tooling, cloud platforms, Kubernetes, and enterprise stakeholder communication.</x:v>
      </x:c>
      <x:c r="U8" s="27" t="str">
        <x:v>Lead with visual-quality evaluation translated into measurable gates, plus VLM provider comparison, structured outputs, and reproducible traces.</x:v>
      </x:c>
      <x:c r="V8" s="27" t="str">
        <x:v>AI observability; evaluation; GenAI; integrations; MLOps; Python; Docker; Kubernetes; customer delivery</x:v>
      </x:c>
      <x:c r="W8" s="27" t="str">
        <x:v>Remote-first; Singapore-based</x:v>
      </x:c>
      <x:c r="X8" s="27" t="str">
        <x:v>Customer engagements; amount not stated</x:v>
      </x:c>
      <x:c r="Y8" s="27" t="str">
        <x:v>Not disclosed</x:v>
      </x:c>
      <x:c r="Z8" s="33" t="str">
        <x:v>https://sg.linkedin.com/jobs/view/forward-deployed-engineer-apj-at-arize-ai-4413058587</x:v>
      </x:c>
      <x:c r="AA8" s="12" t="n">
        <x:v>46214</x:v>
      </x:c>
      <x:c r="AB8" s="9" t="str">
        <x:v>Not started</x:v>
      </x:c>
      <x:c r="AC8" s="12"/>
      <x:c r="AD8" s="12"/>
      <x:c r="AE8" s="9" t="str"/>
      <x:c r="AF8" s="27" t="str">
        <x:v>Top FDE target because your evaluation discipline is more differentiated here than generic agent-building claims.</x:v>
      </x:c>
    </x:row>
    <x:row r="9" ht="54" customHeight="1">
      <x:c r="A9" s="18" t="n">
        <x:v>8</x:v>
      </x:c>
      <x:c r="B9" s="9" t="str">
        <x:v>Cohere</x:v>
      </x:c>
      <x:c r="C9" s="9" t="str">
        <x:v>Forward Deployed Engineer, Agentic Platform</x:v>
      </x:c>
      <x:c r="D9" s="9" t="str">
        <x:v>FDE / Solutions</x:v>
      </x:c>
      <x:c r="E9" s="9" t="str">
        <x:v>Singapore</x:v>
      </x:c>
      <x:c r="F9" s="18" t="str">
        <x:v>LinkedIn</x:v>
      </x:c>
      <x:c r="G9" s="18" t="str">
        <x:v>Active page</x:v>
      </x:c>
      <x:c r="H9" s="18" t="str">
        <x:v>2 days ago (relisted)</x:v>
      </x:c>
      <x:c r="I9" s="22" t="n">
        <x:v>46212</x:v>
      </x:c>
      <x:c r="J9" s="23" t="n">
        <x:v>23</x:v>
      </x:c>
      <x:c r="K9" s="23" t="n">
        <x:v>21</x:v>
      </x:c>
      <x:c r="L9" s="23" t="n">
        <x:v>18</x:v>
      </x:c>
      <x:c r="M9" s="23" t="n">
        <x:v>14</x:v>
      </x:c>
      <x:c r="N9" s="23" t="n">
        <x:v>10</x:v>
      </x:c>
      <x:c r="O9" s="23" t="n">
        <x:v>4</x:v>
      </x:c>
      <x:c r="P9" s="23" t="n">
        <x:f>SUM(J9:O9)</x:f>
        <x:v>90</x:v>
      </x:c>
      <x:c r="Q9" s="18" t="str">
        <x:f>IF(G9="Closed","Closed",IF(G9="Verify","Watchlist",IF(R9&lt;&gt;"None","Blocked / verify",IF(P9&gt;=88,"Apply now",IF(P9&gt;=80,"Targeted",IF(P9&gt;=70,"Stretch","Skip"))))))</x:f>
        <x:v>Apply now</x:v>
      </x:c>
      <x:c r="R9" s="9" t="str">
        <x:v>None</x:v>
      </x:c>
      <x:c r="S9" s="27" t="str">
        <x:v>Good match for Python, agent workflows, customer delivery, deployment, structured outputs, fast iteration, and production ownership.</x:v>
      </x:c>
      <x:c r="T9" s="27" t="str">
        <x:v>Need stronger RAG, private-cloud/on-prem, full-stack, and production agent evidence; listing detail URL may be a relisted legacy page.</x:v>
      </x:c>
      <x:c r="U9" s="27" t="str">
        <x:v>Use the FDE version with multimodal orchestration, provider comparison, deployment services, technical discovery, and reusable handoff patterns.</x:v>
      </x:c>
      <x:c r="V9" s="27" t="str">
        <x:v>Agentic platform; Python; RAG; private cloud; on-prem; customer engineering; deployment; production agents</x:v>
      </x:c>
      <x:c r="W9" s="27" t="str">
        <x:v>Remote-flexible; customer deployments</x:v>
      </x:c>
      <x:c r="X9" s="27" t="str">
        <x:v>20-40%</x:v>
      </x:c>
      <x:c r="Y9" s="27" t="str">
        <x:v>Not disclosed</x:v>
      </x:c>
      <x:c r="Z9" s="33" t="str">
        <x:v>https://sg.linkedin.com/jobs/view/forward-deployed-engineer-agentic-platform-at-cohere-4319226743</x:v>
      </x:c>
      <x:c r="AA9" s="12" t="n">
        <x:v>46214</x:v>
      </x:c>
      <x:c r="AB9" s="9" t="str">
        <x:v>Not started</x:v>
      </x:c>
      <x:c r="AC9" s="12"/>
      <x:c r="AD9" s="12"/>
      <x:c r="AE9" s="9" t="str"/>
      <x:c r="AF9" s="27" t="str">
        <x:v>Apply early. Verify the refreshed listing in LinkedIn before spending time on a deep cover note.</x:v>
      </x:c>
    </x:row>
    <x:row r="10" ht="54" customHeight="1">
      <x:c r="A10" s="18" t="n">
        <x:v>9</x:v>
      </x:c>
      <x:c r="B10" s="9" t="str">
        <x:v>Google Cloud</x:v>
      </x:c>
      <x:c r="C10" s="9" t="str">
        <x:v>Forward Deployed Engineer III, Applied AI</x:v>
      </x:c>
      <x:c r="D10" s="9" t="str">
        <x:v>FDE / Solutions</x:v>
      </x:c>
      <x:c r="E10" s="9" t="str">
        <x:v>Singapore</x:v>
      </x:c>
      <x:c r="F10" s="18" t="str">
        <x:v>Jobstreet</x:v>
      </x:c>
      <x:c r="G10" s="18" t="str">
        <x:v>Apply visible</x:v>
      </x:c>
      <x:c r="H10" s="18" t="str">
        <x:v>11 days ago</x:v>
      </x:c>
      <x:c r="I10" s="22" t="n">
        <x:v>46203</x:v>
      </x:c>
      <x:c r="J10" s="23" t="n">
        <x:v>24</x:v>
      </x:c>
      <x:c r="K10" s="23" t="n">
        <x:v>20</x:v>
      </x:c>
      <x:c r="L10" s="23" t="n">
        <x:v>18</x:v>
      </x:c>
      <x:c r="M10" s="23" t="n">
        <x:v>12</x:v>
      </x:c>
      <x:c r="N10" s="23" t="n">
        <x:v>10</x:v>
      </x:c>
      <x:c r="O10" s="23" t="n">
        <x:v>4</x:v>
      </x:c>
      <x:c r="P10" s="23" t="n">
        <x:f>SUM(J10:O10)</x:f>
        <x:v>88</x:v>
      </x:c>
      <x:c r="Q10" s="18" t="str">
        <x:f>IF(G10="Closed","Closed",IF(G10="Verify","Watchlist",IF(R10&lt;&gt;"None","Blocked / verify",IF(P10&gt;=88,"Apply now",IF(P10&gt;=80,"Targeted",IF(P10&gt;=70,"Stretch","Skip"))))))</x:f>
        <x:v>Apply now</x:v>
      </x:c>
      <x:c r="R10" s="9" t="str">
        <x:v>None</x:v>
      </x:c>
      <x:c r="S10" s="27" t="str">
        <x:v>Strong match for prototypes-to-production, agent evaluation, APIs, customer engineering, failure tracing, and reusable field patterns.</x:v>
      </x:c>
      <x:c r="T10" s="27" t="str">
        <x:v>Role asks for 5 years, full-stack enterprise delivery, cloud architecture, and Terraform. These must be addressed directly.</x:v>
      </x:c>
      <x:c r="U10" s="27" t="str">
        <x:v>Position 4+ years as end-to-end deployment ownership; foreground eval pipelines, API services, customer issue triage, and maintainable handoff.</x:v>
      </x:c>
      <x:c r="V10" s="27" t="str">
        <x:v>Applied AI; conversational AI; multi-agent; MCP; evaluation; observability; Terraform; cloud; enterprise integration</x:v>
      </x:c>
      <x:c r="W10" s="27" t="str">
        <x:v>Singapore / customer sites</x:v>
      </x:c>
      <x:c r="X10" s="27" t="str">
        <x:v>Up to 50%</x:v>
      </x:c>
      <x:c r="Y10" s="27" t="str">
        <x:v>Not disclosed</x:v>
      </x:c>
      <x:c r="Z10" s="33" t="str">
        <x:v>https://sg.jobstreet.com/job/93012543</x:v>
      </x:c>
      <x:c r="AA10" s="12" t="n">
        <x:v>46214</x:v>
      </x:c>
      <x:c r="AB10" s="9" t="str">
        <x:v>Not started</x:v>
      </x:c>
      <x:c r="AC10" s="12"/>
      <x:c r="AD10" s="12"/>
      <x:c r="AE10" s="9" t="str"/>
      <x:c r="AF10" s="27" t="str">
        <x:v>High-upside stretch within reach. Add one public cloud/IaC project before interview if possible.</x:v>
      </x:c>
    </x:row>
    <x:row r="11" ht="54" customHeight="1">
      <x:c r="A11" s="18" t="n">
        <x:v>10</x:v>
      </x:c>
      <x:c r="B11" s="9" t="str">
        <x:v>OpenAI</x:v>
      </x:c>
      <x:c r="C11" s="9" t="str">
        <x:v>Forward Deployed Engineer - Singapore</x:v>
      </x:c>
      <x:c r="D11" s="9" t="str">
        <x:v>FDE / Solutions</x:v>
      </x:c>
      <x:c r="E11" s="9" t="str">
        <x:v>Singapore</x:v>
      </x:c>
      <x:c r="F11" s="18" t="str">
        <x:v>LinkedIn</x:v>
      </x:c>
      <x:c r="G11" s="18" t="str">
        <x:v>Apply visible</x:v>
      </x:c>
      <x:c r="H11" s="18" t="str">
        <x:v>1 day ago</x:v>
      </x:c>
      <x:c r="I11" s="22" t="n">
        <x:v>46213</x:v>
      </x:c>
      <x:c r="J11" s="23" t="n">
        <x:v>24</x:v>
      </x:c>
      <x:c r="K11" s="23" t="n">
        <x:v>20</x:v>
      </x:c>
      <x:c r="L11" s="23" t="n">
        <x:v>19</x:v>
      </x:c>
      <x:c r="M11" s="23" t="n">
        <x:v>11</x:v>
      </x:c>
      <x:c r="N11" s="23" t="n">
        <x:v>10</x:v>
      </x:c>
      <x:c r="O11" s="23" t="n">
        <x:v>4</x:v>
      </x:c>
      <x:c r="P11" s="23" t="n">
        <x:f>SUM(J11:O11)</x:f>
        <x:v>88</x:v>
      </x:c>
      <x:c r="Q11" s="18" t="str">
        <x:f>IF(G11="Closed","Closed",IF(G11="Verify","Watchlist",IF(R11&lt;&gt;"None","Blocked / verify",IF(P11&gt;=88,"Apply now",IF(P11&gt;=80,"Targeted",IF(P11&gt;=70,"Stretch","Skip"))))))</x:f>
        <x:v>Apply now</x:v>
      </x:c>
      <x:c r="R11" s="9" t="str">
        <x:v>None</x:v>
      </x:c>
      <x:c r="S11" s="27" t="str">
        <x:v>Strong conceptual match for discovery, scoping, build, rollout, eval-driven feedback, reusable playbooks, and customer-side ownership.</x:v>
      </x:c>
      <x:c r="T11" s="27" t="str">
        <x:v>Role requests 5+ years, strong customer-facing delivery, and full-stack production systems. Competition is exceptionally high.</x:v>
      </x:c>
      <x:c r="U11" s="27" t="str">
        <x:v>Use a concise FDE narrative: customer problem -&gt; prototype -&gt; deployed workflow -&gt; evaluation -&gt; reusable handoff. Avoid leading with tool lists.</x:v>
      </x:c>
      <x:c r="V11" s="27" t="str">
        <x:v>Forward deployed; frontier models; production rollout; customer engineering; evals; full stack; adoption; playbooks</x:v>
      </x:c>
      <x:c r="W11" s="27" t="str">
        <x:v>Hybrid, 3 days/week office</x:v>
      </x:c>
      <x:c r="X11" s="27" t="str">
        <x:v>50%</x:v>
      </x:c>
      <x:c r="Y11" s="27" t="str">
        <x:v>Not disclosed</x:v>
      </x:c>
      <x:c r="Z11" s="33" t="str">
        <x:v>https://sg.linkedin.com/jobs/view/forward-deployed-engineer-singapore-at-openai-4417178064</x:v>
      </x:c>
      <x:c r="AA11" s="12" t="n">
        <x:v>46214</x:v>
      </x:c>
      <x:c r="AB11" s="9" t="str">
        <x:v>Not started</x:v>
      </x:c>
      <x:c r="AC11" s="12"/>
      <x:c r="AD11" s="12"/>
      <x:c r="AE11" s="9" t="str"/>
      <x:c r="AF11" s="27" t="str">
        <x:v>Apply, but treat it as a high-upside stretch. A referral and one public end-to-end agent example materially improve odds.</x:v>
      </x:c>
    </x:row>
    <x:row r="12" ht="54" customHeight="1">
      <x:c r="A12" s="18" t="n">
        <x:v>11</x:v>
      </x:c>
      <x:c r="B12" s="9" t="str">
        <x:v>FieldAI</x:v>
      </x:c>
      <x:c r="C12" s="9" t="str">
        <x:v>Forward Deployed Engineer - Singapore</x:v>
      </x:c>
      <x:c r="D12" s="9" t="str">
        <x:v>FDE / Physical AI</x:v>
      </x:c>
      <x:c r="E12" s="9" t="str">
        <x:v>Singapore</x:v>
      </x:c>
      <x:c r="F12" s="18" t="str">
        <x:v>LinkedIn</x:v>
      </x:c>
      <x:c r="G12" s="18" t="str">
        <x:v>Apply visible</x:v>
      </x:c>
      <x:c r="H12" s="18" t="str">
        <x:v>10 hours ago</x:v>
      </x:c>
      <x:c r="I12" s="22" t="n">
        <x:v>46214</x:v>
      </x:c>
      <x:c r="J12" s="23" t="n">
        <x:v>23</x:v>
      </x:c>
      <x:c r="K12" s="23" t="n">
        <x:v>20</x:v>
      </x:c>
      <x:c r="L12" s="23" t="n">
        <x:v>19</x:v>
      </x:c>
      <x:c r="M12" s="23" t="n">
        <x:v>13</x:v>
      </x:c>
      <x:c r="N12" s="23" t="n">
        <x:v>9</x:v>
      </x:c>
      <x:c r="O12" s="23" t="n">
        <x:v>4</x:v>
      </x:c>
      <x:c r="P12" s="23" t="n">
        <x:f>SUM(J12:O12)</x:f>
        <x:v>88</x:v>
      </x:c>
      <x:c r="Q12" s="18" t="str">
        <x:f>IF(G12="Closed","Closed",IF(G12="Verify","Watchlist",IF(R12&lt;&gt;"None","Blocked / verify",IF(P12&gt;=88,"Apply now",IF(P12&gt;=80,"Targeted",IF(P12&gt;=70,"Stretch","Skip"))))))</x:f>
        <x:v>Apply now</x:v>
      </x:c>
      <x:c r="R12" s="9" t="str">
        <x:v>None</x:v>
      </x:c>
      <x:c r="S12" s="27" t="str">
        <x:v>Good fit for field deployment, edge constraints, real-world debugging, integration, customer ownership, and camera/vision systems.</x:v>
      </x:c>
      <x:c r="T12" s="27" t="str">
        <x:v>Robotics integration, sensors, autonomy stacks, and field hardware operations are not yet explicit in the CV.</x:v>
      </x:c>
      <x:c r="U12" s="27" t="str">
        <x:v>Lead with on-device camera AI, device debugging, runtime integration, state machines, fallbacks, real-device validation, and customer issues.</x:v>
      </x:c>
      <x:c r="V12" s="27" t="str">
        <x:v>Physical AI; field deployment; robotics; edge systems; integration; reliability; customer operations; computer vision</x:v>
      </x:c>
      <x:c r="W12" s="27" t="str">
        <x:v>On-site, Singapore</x:v>
      </x:c>
      <x:c r="X12" s="27" t="str">
        <x:v>Field/customer deployments expected</x:v>
      </x:c>
      <x:c r="Y12" s="27" t="str">
        <x:v>Not disclosed</x:v>
      </x:c>
      <x:c r="Z12" s="33" t="str">
        <x:v>https://sg.linkedin.com/jobs/view/forward-deployed-engineer-singapore-at-fieldai-4368422077</x:v>
      </x:c>
      <x:c r="AA12" s="12" t="n">
        <x:v>46214</x:v>
      </x:c>
      <x:c r="AB12" s="9" t="str">
        <x:v>Not started</x:v>
      </x:c>
      <x:c r="AC12" s="12"/>
      <x:c r="AD12" s="12"/>
      <x:c r="AE12" s="9" t="str"/>
      <x:c r="AF12" s="27" t="str">
        <x:v>Strong pivot into Physical AI if you want more field/robotics exposure.</x:v>
      </x:c>
    </x:row>
    <x:row r="13" ht="54" customHeight="1">
      <x:c r="A13" s="18" t="n">
        <x:v>12</x:v>
      </x:c>
      <x:c r="B13" s="9" t="str">
        <x:v>Hiverlab</x:v>
      </x:c>
      <x:c r="C13" s="9" t="str">
        <x:v>Forward Deployed Engineer</x:v>
      </x:c>
      <x:c r="D13" s="9" t="str">
        <x:v>FDE / Physical AI</x:v>
      </x:c>
      <x:c r="E13" s="9" t="str">
        <x:v>Singapore</x:v>
      </x:c>
      <x:c r="F13" s="18" t="str">
        <x:v>LinkedIn</x:v>
      </x:c>
      <x:c r="G13" s="18" t="str">
        <x:v>Active page</x:v>
      </x:c>
      <x:c r="H13" s="18" t="str">
        <x:v>3 weeks ago</x:v>
      </x:c>
      <x:c r="I13" s="22" t="n">
        <x:v>46193</x:v>
      </x:c>
      <x:c r="J13" s="23" t="n">
        <x:v>22</x:v>
      </x:c>
      <x:c r="K13" s="23" t="n">
        <x:v>20</x:v>
      </x:c>
      <x:c r="L13" s="23" t="n">
        <x:v>19</x:v>
      </x:c>
      <x:c r="M13" s="23" t="n">
        <x:v>14</x:v>
      </x:c>
      <x:c r="N13" s="23" t="n">
        <x:v>7</x:v>
      </x:c>
      <x:c r="O13" s="23" t="n">
        <x:v>4</x:v>
      </x:c>
      <x:c r="P13" s="23" t="n">
        <x:f>SUM(J13:O13)</x:f>
        <x:v>86</x:v>
      </x:c>
      <x:c r="Q13" s="18" t="str">
        <x:f>IF(G13="Closed","Closed",IF(G13="Verify","Watchlist",IF(R13&lt;&gt;"None","Blocked / verify",IF(P13&gt;=88,"Apply now",IF(P13&gt;=80,"Targeted",IF(P13&gt;=70,"Stretch","Skip"))))))</x:f>
        <x:v>Targeted</x:v>
      </x:c>
      <x:c r="R13" s="9" t="str">
        <x:v>None</x:v>
      </x:c>
      <x:c r="S13" s="27" t="str">
        <x:v>Good overlap in AI deployment, customer embedding, troubleshooting, APIs, data pipelines, model tuning, and real-world systems.</x:v>
      </x:c>
      <x:c r="T13" s="27" t="str">
        <x:v>Digital twin and IoT experience is not explicit; cloud platform evidence should be stronger.</x:v>
      </x:c>
      <x:c r="U13" s="27" t="str">
        <x:v>Emphasize production camera workflows, customer-found issues, cross-system integration, deployment debugging, and field-to-product feedback.</x:v>
      </x:c>
      <x:c r="V13" s="27" t="str">
        <x:v>Forward deployed; digital twin; AI deployment; APIs; data pipelines; cloud; IoT; customer troubleshooting</x:v>
      </x:c>
      <x:c r="W13" s="27" t="str">
        <x:v>Customer-embedded / Singapore</x:v>
      </x:c>
      <x:c r="X13" s="27" t="str">
        <x:v>Customer-site work expected</x:v>
      </x:c>
      <x:c r="Y13" s="27" t="str">
        <x:v>Not disclosed</x:v>
      </x:c>
      <x:c r="Z13" s="33" t="str">
        <x:v>https://sg.linkedin.com/jobs/view/forward-deployed-engineer-at-hiverlab-4399151236</x:v>
      </x:c>
      <x:c r="AA13" s="12" t="n">
        <x:v>46214</x:v>
      </x:c>
      <x:c r="AB13" s="9" t="str">
        <x:v>Not started</x:v>
      </x:c>
      <x:c r="AC13" s="12"/>
      <x:c r="AD13" s="12"/>
      <x:c r="AE13" s="9" t="str"/>
      <x:c r="AF13" s="27" t="str">
        <x:v>Good practical transition role; verify active status before tailoring.</x:v>
      </x:c>
    </x:row>
    <x:row r="14" ht="54" customHeight="1">
      <x:c r="A14" s="18" t="n">
        <x:v>13</x:v>
      </x:c>
      <x:c r="B14" s="9" t="str">
        <x:v>Databricks</x:v>
      </x:c>
      <x:c r="C14" s="9" t="str">
        <x:v>AI Engineer - FDE</x:v>
      </x:c>
      <x:c r="D14" s="9" t="str">
        <x:v>FDE / Solutions</x:v>
      </x:c>
      <x:c r="E14" s="9" t="str">
        <x:v>Singapore</x:v>
      </x:c>
      <x:c r="F14" s="18" t="str">
        <x:v>LinkedIn</x:v>
      </x:c>
      <x:c r="G14" s="18" t="str">
        <x:v>Active page</x:v>
      </x:c>
      <x:c r="H14" s="18" t="str">
        <x:v>3 weeks ago</x:v>
      </x:c>
      <x:c r="I14" s="22" t="n">
        <x:v>46193</x:v>
      </x:c>
      <x:c r="J14" s="23" t="n">
        <x:v>22</x:v>
      </x:c>
      <x:c r="K14" s="23" t="n">
        <x:v>19</x:v>
      </x:c>
      <x:c r="L14" s="23" t="n">
        <x:v>18</x:v>
      </x:c>
      <x:c r="M14" s="23" t="n">
        <x:v>12</x:v>
      </x:c>
      <x:c r="N14" s="23" t="n">
        <x:v>10</x:v>
      </x:c>
      <x:c r="O14" s="23" t="n">
        <x:v>4</x:v>
      </x:c>
      <x:c r="P14" s="23" t="n">
        <x:f>SUM(J14:O14)</x:f>
        <x:v>85</x:v>
      </x:c>
      <x:c r="Q14" s="18" t="str">
        <x:f>IF(G14="Closed","Closed",IF(G14="Verify","Watchlist",IF(R14&lt;&gt;"None","Blocked / verify",IF(P14&gt;=88,"Apply now",IF(P14&gt;=80,"Targeted",IF(P14&gt;=70,"Stretch","Skip"))))))</x:f>
        <x:v>Targeted</x:v>
      </x:c>
      <x:c r="R14" s="9" t="str">
        <x:v>None</x:v>
      </x:c>
      <x:c r="S14" s="27" t="str">
        <x:v>Good match for production AI deployment, evaluation, PyTorch, customer advising, and communicating technical trade-offs.</x:v>
      </x:c>
      <x:c r="T14" s="27" t="str">
        <x:v>GenAI depth, RAG/multi-agent examples, public cloud, Spark, MLflow, and Databricks platform experience are weaker.</x:v>
      </x:c>
      <x:c r="U14" s="27" t="str">
        <x:v>Frame the reusable model-to-deployment foundation as platform thinking; add agent evaluation and service deployment evidence.</x:v>
      </x:c>
      <x:c r="V14" s="27" t="str">
        <x:v>AI FDE; GenAI; RAG; multi-agent; LLMOps; PyTorch; cloud; Spark; MLflow; customer advisor</x:v>
      </x:c>
      <x:c r="W14" s="27" t="str">
        <x:v>Singapore</x:v>
      </x:c>
      <x:c r="X14" s="27" t="str">
        <x:v>Not stated</x:v>
      </x:c>
      <x:c r="Y14" s="27" t="str">
        <x:v>Not disclosed</x:v>
      </x:c>
      <x:c r="Z14" s="33" t="str">
        <x:v>https://sg.linkedin.com/jobs/view/ai-engineer-fde-forward-deployed-engineer-at-databricks-4401292515</x:v>
      </x:c>
      <x:c r="AA14" s="12" t="n">
        <x:v>46214</x:v>
      </x:c>
      <x:c r="AB14" s="9" t="str">
        <x:v>Not started</x:v>
      </x:c>
      <x:c r="AC14" s="12"/>
      <x:c r="AD14" s="12"/>
      <x:c r="AE14" s="9" t="str"/>
      <x:c r="AF14" s="27" t="str">
        <x:v>Targeted application. Best improved by a small public RAG/agent evaluation repo and cloud deployment proof.</x:v>
      </x:c>
    </x:row>
    <x:row r="15" ht="54" customHeight="1">
      <x:c r="A15" s="18" t="n">
        <x:v>14</x:v>
      </x:c>
      <x:c r="B15" s="9" t="str">
        <x:v>TikTok</x:v>
      </x:c>
      <x:c r="C15" s="9" t="str">
        <x:v>Machine Learning Engineer, Multimodal - Intelligent Integrity</x:v>
      </x:c>
      <x:c r="D15" s="9" t="str">
        <x:v>Multimodal / Applied AI</x:v>
      </x:c>
      <x:c r="E15" s="9" t="str">
        <x:v>Singapore</x:v>
      </x:c>
      <x:c r="F15" s="18" t="str">
        <x:v>LinkedIn</x:v>
      </x:c>
      <x:c r="G15" s="18" t="str">
        <x:v>Apply visible</x:v>
      </x:c>
      <x:c r="H15" s="18" t="str">
        <x:v>3 days ago</x:v>
      </x:c>
      <x:c r="I15" s="22" t="n">
        <x:v>46211</x:v>
      </x:c>
      <x:c r="J15" s="23" t="n">
        <x:v>22</x:v>
      </x:c>
      <x:c r="K15" s="23" t="n">
        <x:v>20</x:v>
      </x:c>
      <x:c r="L15" s="23" t="n">
        <x:v>17</x:v>
      </x:c>
      <x:c r="M15" s="23" t="n">
        <x:v>14</x:v>
      </x:c>
      <x:c r="N15" s="23" t="n">
        <x:v>10</x:v>
      </x:c>
      <x:c r="O15" s="23" t="n">
        <x:v>2</x:v>
      </x:c>
      <x:c r="P15" s="23" t="n">
        <x:f>SUM(J15:O15)</x:f>
        <x:v>85</x:v>
      </x:c>
      <x:c r="Q15" s="18" t="str">
        <x:f>IF(G15="Closed","Closed",IF(G15="Verify","Watchlist",IF(R15&lt;&gt;"None","Blocked / verify",IF(P15&gt;=88,"Apply now",IF(P15&gt;=80,"Targeted",IF(P15&gt;=70,"Stretch","Skip"))))))</x:f>
        <x:v>Targeted</x:v>
      </x:c>
      <x:c r="R15" s="9" t="str">
        <x:v>None</x:v>
      </x:c>
      <x:c r="S15" s="27" t="str">
        <x:v>Good overlap in CV/VLM workflows, Python/C++, inference deployment, structured reasoning traces, evaluation, and production implementation.</x:v>
      </x:c>
      <x:c r="T15" s="27" t="str">
        <x:v>Role favors multimodal model training/fine-tuning, content understanding, and top-tier publications; current paper is domain peer-reviewed, not a top CS venue.</x:v>
      </x:c>
      <x:c r="U15" s="27" t="str">
        <x:v>Lead with VLM composition workflows and deployment; include the Automation in Construction paper accurately and do not overstate publication tier.</x:v>
      </x:c>
      <x:c r="V15" s="27" t="str">
        <x:v>MLLM; VLM; multimodal fusion; agents; content understanding; PyTorch; Python; C++; inference deployment</x:v>
      </x:c>
      <x:c r="W15" s="27" t="str">
        <x:v>Singapore office</x:v>
      </x:c>
      <x:c r="X15" s="27" t="str">
        <x:v>Not stated</x:v>
      </x:c>
      <x:c r="Y15" s="27" t="str">
        <x:v>Not disclosed</x:v>
      </x:c>
      <x:c r="Z15" s="33" t="str">
        <x:v>https://sg.linkedin.com/jobs/view/machine-learning-engineer-multimodal-intelligent-integrity-at-tiktok-4435790993</x:v>
      </x:c>
      <x:c r="AA15" s="12" t="n">
        <x:v>46214</x:v>
      </x:c>
      <x:c r="AB15" s="9" t="str">
        <x:v>Not started</x:v>
      </x:c>
      <x:c r="AC15" s="12"/>
      <x:c r="AD15" s="12"/>
      <x:c r="AE15" s="9" t="str"/>
      <x:c r="AF15" s="27" t="str">
        <x:v>Worth a targeted application, but the interview will likely test modeling depth beyond orchestration.</x:v>
      </x:c>
    </x:row>
    <x:row r="16" ht="54" customHeight="1">
      <x:c r="A16" s="18" t="n">
        <x:v>15</x:v>
      </x:c>
      <x:c r="B16" s="9" t="str">
        <x:v>LionsBot</x:v>
      </x:c>
      <x:c r="C16" s="9" t="str">
        <x:v>Perception Engineer</x:v>
      </x:c>
      <x:c r="D16" s="9" t="str">
        <x:v>Computer Vision / Robotics</x:v>
      </x:c>
      <x:c r="E16" s="9" t="str">
        <x:v>Singapore</x:v>
      </x:c>
      <x:c r="F16" s="18" t="str">
        <x:v>LinkedIn</x:v>
      </x:c>
      <x:c r="G16" s="18" t="str">
        <x:v>Apply visible</x:v>
      </x:c>
      <x:c r="H16" s="18" t="str">
        <x:v>6 days ago</x:v>
      </x:c>
      <x:c r="I16" s="22" t="n">
        <x:v>46208</x:v>
      </x:c>
      <x:c r="J16" s="23" t="n">
        <x:v>21</x:v>
      </x:c>
      <x:c r="K16" s="23" t="n">
        <x:v>20</x:v>
      </x:c>
      <x:c r="L16" s="23" t="n">
        <x:v>17</x:v>
      </x:c>
      <x:c r="M16" s="23" t="n">
        <x:v>15</x:v>
      </x:c>
      <x:c r="N16" s="23" t="n">
        <x:v>7</x:v>
      </x:c>
      <x:c r="O16" s="23" t="n">
        <x:v>5</x:v>
      </x:c>
      <x:c r="P16" s="23" t="n">
        <x:f>SUM(J16:O16)</x:f>
        <x:v>85</x:v>
      </x:c>
      <x:c r="Q16" s="18" t="str">
        <x:f>IF(G16="Closed","Closed",IF(G16="Verify","Watchlist",IF(R16&lt;&gt;"None","Blocked / verify",IF(P16&gt;=88,"Apply now",IF(P16&gt;=80,"Targeted",IF(P16&gt;=70,"Stretch","Skip"))))))</x:f>
        <x:v>Targeted</x:v>
      </x:c>
      <x:c r="R16" s="9" t="str">
        <x:v>None</x:v>
      </x:c>
      <x:c r="S16" s="27" t="str">
        <x:v>Good overlap in detection, tracking, segmentation, C++/Python/Linux, deployment, testing, and technical ownership.</x:v>
      </x:c>
      <x:c r="T16" s="27" t="str">
        <x:v>ROS, LiDAR/RGBD, point clouds, calibration, SLAM, and 3D perception need evidence or fast upskilling.</x:v>
      </x:c>
      <x:c r="U16" s="27" t="str">
        <x:v>Lead with detection plus optical-flow tracking, state machines, on-device C++, edge deployment, and robust failure handling.</x:v>
      </x:c>
      <x:c r="V16" s="27" t="str">
        <x:v>Perception; robotics; C++; Python; Linux; detection; tracking; segmentation; ROS; LiDAR; RGBD</x:v>
      </x:c>
      <x:c r="W16" s="27" t="str">
        <x:v>On-site, Changi</x:v>
      </x:c>
      <x:c r="X16" s="27" t="str">
        <x:v>Not stated</x:v>
      </x:c>
      <x:c r="Y16" s="27" t="str">
        <x:v>Not disclosed</x:v>
      </x:c>
      <x:c r="Z16" s="33" t="str">
        <x:v>https://sg.linkedin.com/jobs/view/perception-engineer-at-lionsbot-international-4405211465</x:v>
      </x:c>
      <x:c r="AA16" s="12" t="n">
        <x:v>46214</x:v>
      </x:c>
      <x:c r="AB16" s="9" t="str">
        <x:v>Not started</x:v>
      </x:c>
      <x:c r="AC16" s="12"/>
      <x:c r="AD16" s="12"/>
      <x:c r="AE16" s="9" t="str"/>
      <x:c r="AF16" s="27" t="str">
        <x:v>Good entry into robotics; prepare one ROS2 + RGBD mini-project before interview.</x:v>
      </x:c>
    </x:row>
    <x:row r="17" ht="54" customHeight="1">
      <x:c r="A17" s="18" t="n">
        <x:v>16</x:v>
      </x:c>
      <x:c r="B17" s="9" t="str">
        <x:v>Rapsodo</x:v>
      </x:c>
      <x:c r="C17" s="9" t="str">
        <x:v>Senior Computer Vision Engineer</x:v>
      </x:c>
      <x:c r="D17" s="9" t="str">
        <x:v>Computer Vision / Edge</x:v>
      </x:c>
      <x:c r="E17" s="9" t="str">
        <x:v>Singapore</x:v>
      </x:c>
      <x:c r="F17" s="18" t="str">
        <x:v>LinkedIn</x:v>
      </x:c>
      <x:c r="G17" s="18" t="str">
        <x:v>Apply visible</x:v>
      </x:c>
      <x:c r="H17" s="18" t="str">
        <x:v>4 days ago</x:v>
      </x:c>
      <x:c r="I17" s="22" t="n">
        <x:v>46210</x:v>
      </x:c>
      <x:c r="J17" s="23" t="n">
        <x:v>24</x:v>
      </x:c>
      <x:c r="K17" s="23" t="n">
        <x:v>23</x:v>
      </x:c>
      <x:c r="L17" s="23" t="n">
        <x:v>19</x:v>
      </x:c>
      <x:c r="M17" s="23" t="n">
        <x:v>8</x:v>
      </x:c>
      <x:c r="N17" s="23" t="n">
        <x:v>8</x:v>
      </x:c>
      <x:c r="O17" s="23" t="n">
        <x:v>4</x:v>
      </x:c>
      <x:c r="P17" s="23" t="n">
        <x:f>SUM(J17:O17)</x:f>
        <x:v>86</x:v>
      </x:c>
      <x:c r="Q17" s="18" t="str">
        <x:f>IF(G17="Closed","Closed",IF(G17="Verify","Watchlist",IF(R17&lt;&gt;"None","Blocked / verify",IF(P17&gt;=88,"Apply now",IF(P17&gt;=80,"Targeted",IF(P17&gt;=70,"Stretch","Skip"))))))</x:f>
        <x:v>Targeted</x:v>
      </x:c>
      <x:c r="R17" s="9" t="str">
        <x:v>None</x:v>
      </x:c>
      <x:c r="S17" s="27" t="str">
        <x:v>Strong technical overlap in segmentation, deep learning, edge optimization, model compression, C/C++, Python, and real-time vision.</x:v>
      </x:c>
      <x:c r="T17" s="27" t="str">
        <x:v>Role asks for 6-8+ years, 3D vision, stereo calibration, and strong geometric CV. Seniority and 3D depth are real gaps.</x:v>
      </x:c>
      <x:c r="U17" s="27" t="str">
        <x:v>Lead with edge optimization and C++ runtime delivery; mention monocular depth but distinguish it from stereo/3D reconstruction.</x:v>
      </x:c>
      <x:c r="V17" s="27" t="str">
        <x:v>Computer vision; 3D vision; camera calibration; segmentation; embedded AI; C++; Python; quantization; model compression</x:v>
      </x:c>
      <x:c r="W17" s="27" t="str">
        <x:v>Singapore office</x:v>
      </x:c>
      <x:c r="X17" s="27" t="str">
        <x:v>Not stated</x:v>
      </x:c>
      <x:c r="Y17" s="27" t="str">
        <x:v>Not disclosed</x:v>
      </x:c>
      <x:c r="Z17" s="33" t="str">
        <x:v>https://sg.linkedin.com/jobs/view/senior-computer-vision-engineer-at-rapsodo-4432206528</x:v>
      </x:c>
      <x:c r="AA17" s="12" t="n">
        <x:v>46214</x:v>
      </x:c>
      <x:c r="AB17" s="9" t="str">
        <x:v>Not started</x:v>
      </x:c>
      <x:c r="AC17" s="12"/>
      <x:c r="AD17" s="12"/>
      <x:c r="AE17" s="9" t="str"/>
      <x:c r="AF17" s="27" t="str">
        <x:v>Technically attractive but seniority-heavy. Apply only with a concise note acknowledging the 3D learning path.</x:v>
      </x:c>
    </x:row>
    <x:row r="18" ht="54" customHeight="1">
      <x:c r="A18" s="18" t="n">
        <x:v>17</x:v>
      </x:c>
      <x:c r="B18" s="9" t="str">
        <x:v>PERSOL APAC (client confidential)</x:v>
      </x:c>
      <x:c r="C18" s="9" t="str">
        <x:v>AI Inference &amp; Compression Engineer</x:v>
      </x:c>
      <x:c r="D18" s="9" t="str">
        <x:v>ML Systems / Inference</x:v>
      </x:c>
      <x:c r="E18" s="9" t="str">
        <x:v>Singapore</x:v>
      </x:c>
      <x:c r="F18" s="18" t="str">
        <x:v>LinkedIn</x:v>
      </x:c>
      <x:c r="G18" s="18" t="str">
        <x:v>Apply visible</x:v>
      </x:c>
      <x:c r="H18" s="18" t="str">
        <x:v>3 weeks ago</x:v>
      </x:c>
      <x:c r="I18" s="22" t="n">
        <x:v>46193</x:v>
      </x:c>
      <x:c r="J18" s="23" t="n">
        <x:v>21</x:v>
      </x:c>
      <x:c r="K18" s="23" t="n">
        <x:v>22</x:v>
      </x:c>
      <x:c r="L18" s="23" t="n">
        <x:v>18</x:v>
      </x:c>
      <x:c r="M18" s="23" t="n">
        <x:v>11</x:v>
      </x:c>
      <x:c r="N18" s="23" t="n">
        <x:v>8</x:v>
      </x:c>
      <x:c r="O18" s="23" t="n">
        <x:v>4</x:v>
      </x:c>
      <x:c r="P18" s="23" t="n">
        <x:f>SUM(J18:O18)</x:f>
        <x:v>84</x:v>
      </x:c>
      <x:c r="Q18" s="18" t="str">
        <x:f>IF(G18="Closed","Closed",IF(G18="Verify","Watchlist",IF(R18&lt;&gt;"None","Blocked / verify",IF(P18&gt;=88,"Apply now",IF(P18&gt;=80,"Targeted",IF(P18&gt;=70,"Stretch","Skip"))))))</x:f>
        <x:v>Targeted</x:v>
      </x:c>
      <x:c r="R18" s="9" t="str">
        <x:v>None</x:v>
      </x:c>
      <x:c r="S18" s="27" t="str">
        <x:v>Good overlap in quantization, inference optimization, computational photography, optical flow, visual quality, Python/C++, and hardware-aware deployment.</x:v>
      </x:c>
      <x:c r="T18" s="27" t="str">
        <x:v>Advanced video codecs, vLLM/KV-cache optimization, CUDA/SIMD depth, and PhD-preferred research profile are weaker.</x:v>
      </x:c>
      <x:c r="U18" s="27" t="str">
        <x:v>Lead with QAT/PTQ, INT8/FP16 validation, TensorRT, optical flow, image quality evaluation, ISP-adjacent rendering, and C++ integration.</x:v>
      </x:c>
      <x:c r="V18" s="27" t="str">
        <x:v>Inference; compression; quantization; TensorRT; vLLM; optical flow; video coding; C++; Python; visual quality</x:v>
      </x:c>
      <x:c r="W18" s="27" t="str">
        <x:v>Singapore</x:v>
      </x:c>
      <x:c r="X18" s="27" t="str">
        <x:v>Not stated</x:v>
      </x:c>
      <x:c r="Y18" s="27" t="str">
        <x:v>Not disclosed</x:v>
      </x:c>
      <x:c r="Z18" s="33" t="str">
        <x:v>https://sg.linkedin.com/jobs/view/ai-inference-compression-engineer-at-persol-apac-4419281500</x:v>
      </x:c>
      <x:c r="AA18" s="12" t="n">
        <x:v>46214</x:v>
      </x:c>
      <x:c r="AB18" s="9" t="str">
        <x:v>Not started</x:v>
      </x:c>
      <x:c r="AC18" s="12"/>
      <x:c r="AD18" s="12"/>
      <x:c r="AE18" s="9" t="str"/>
      <x:c r="AF18" s="27" t="str">
        <x:v>Strong technical stretch. Apply if you want deeper ML systems and performance work.</x:v>
      </x:c>
    </x:row>
    <x:row r="19" ht="54" customHeight="1">
      <x:c r="A19" s="18" t="n">
        <x:v>18</x:v>
      </x:c>
      <x:c r="B19" s="9" t="str">
        <x:v>Patsnap</x:v>
      </x:c>
      <x:c r="C19" s="9" t="str">
        <x:v>Forward Deployed Engineer (FDE)</x:v>
      </x:c>
      <x:c r="D19" s="9" t="str">
        <x:v>FDE / Solutions</x:v>
      </x:c>
      <x:c r="E19" s="9" t="str">
        <x:v>Singapore</x:v>
      </x:c>
      <x:c r="F19" s="18" t="str">
        <x:v>LinkedIn</x:v>
      </x:c>
      <x:c r="G19" s="18" t="str">
        <x:v>Apply visible</x:v>
      </x:c>
      <x:c r="H19" s="18" t="str">
        <x:v>2 days ago</x:v>
      </x:c>
      <x:c r="I19" s="22" t="n">
        <x:v>46212</x:v>
      </x:c>
      <x:c r="J19" s="23" t="n">
        <x:v>21</x:v>
      </x:c>
      <x:c r="K19" s="23" t="n">
        <x:v>18</x:v>
      </x:c>
      <x:c r="L19" s="23" t="n">
        <x:v>17</x:v>
      </x:c>
      <x:c r="M19" s="23" t="n">
        <x:v>15</x:v>
      </x:c>
      <x:c r="N19" s="23" t="n">
        <x:v>8</x:v>
      </x:c>
      <x:c r="O19" s="23" t="n">
        <x:v>5</x:v>
      </x:c>
      <x:c r="P19" s="23" t="n">
        <x:f>SUM(J19:O19)</x:f>
        <x:v>84</x:v>
      </x:c>
      <x:c r="Q19" s="18" t="str">
        <x:f>IF(G19="Closed","Closed",IF(G19="Verify","Watchlist",IF(R19&lt;&gt;"None","Blocked / verify",IF(P19&gt;=88,"Apply now",IF(P19&gt;=80,"Targeted",IF(P19&gt;=70,"Stretch","Skip"))))))</x:f>
        <x:v>Targeted</x:v>
      </x:c>
      <x:c r="R19" s="9" t="str">
        <x:v>None</x:v>
      </x:c>
      <x:c r="S19" s="27" t="str">
        <x:v>Good match for discovery, prototypes, AI agent workflows, customer delivery, product feedback, documentation, and measurable outcomes.</x:v>
      </x:c>
      <x:c r="T19" s="27" t="str">
        <x:v>IP/R&amp;D intelligence and no-code/low-code product configuration are new domains; less use of your CV depth.</x:v>
      </x:c>
      <x:c r="U19" s="27" t="str">
        <x:v>Use the FDE version and lead with converting ambiguous feedback into deployable workflows, evaluation gates, and reusable capabilities.</x:v>
      </x:c>
      <x:c r="V19" s="27" t="str">
        <x:v>Forward deployed; AI agents; workflow orchestration; prototypes; customer delivery; product feedback; R&amp;D intelligence</x:v>
      </x:c>
      <x:c r="W19" s="27" t="str">
        <x:v>Singapore</x:v>
      </x:c>
      <x:c r="X19" s="27" t="str">
        <x:v>Not stated</x:v>
      </x:c>
      <x:c r="Y19" s="27" t="str">
        <x:v>Not disclosed</x:v>
      </x:c>
      <x:c r="Z19" s="33" t="str">
        <x:v>https://sg.linkedin.com/jobs/view/forward-deployed-engineer-fde-at-patsnap-4434222886</x:v>
      </x:c>
      <x:c r="AA19" s="12" t="n">
        <x:v>46214</x:v>
      </x:c>
      <x:c r="AB19" s="9" t="str">
        <x:v>Not started</x:v>
      </x:c>
      <x:c r="AC19" s="12"/>
      <x:c r="AD19" s="12"/>
      <x:c r="AE19" s="9" t="str"/>
      <x:c r="AF19" s="27" t="str">
        <x:v>Good probability role, but assess whether the product-configuration balance is technically deep enough for your goals.</x:v>
      </x:c>
    </x:row>
    <x:row r="20" ht="54" customHeight="1">
      <x:c r="A20" s="18" t="n">
        <x:v>19</x:v>
      </x:c>
      <x:c r="B20" s="9" t="str">
        <x:v>Accenture Southeast Asia</x:v>
      </x:c>
      <x:c r="C20" s="9" t="str">
        <x:v>Forward Deployed AI Engineer</x:v>
      </x:c>
      <x:c r="D20" s="9" t="str">
        <x:v>FDE / Solutions</x:v>
      </x:c>
      <x:c r="E20" s="9" t="str">
        <x:v>Singapore</x:v>
      </x:c>
      <x:c r="F20" s="18" t="str">
        <x:v>LinkedIn</x:v>
      </x:c>
      <x:c r="G20" s="18" t="str">
        <x:v>Apply visible</x:v>
      </x:c>
      <x:c r="H20" s="18" t="str">
        <x:v>1 day ago</x:v>
      </x:c>
      <x:c r="I20" s="22" t="n">
        <x:v>46213</x:v>
      </x:c>
      <x:c r="J20" s="23" t="n">
        <x:v>21</x:v>
      </x:c>
      <x:c r="K20" s="23" t="n">
        <x:v>19</x:v>
      </x:c>
      <x:c r="L20" s="23" t="n">
        <x:v>17</x:v>
      </x:c>
      <x:c r="M20" s="23" t="n">
        <x:v>14</x:v>
      </x:c>
      <x:c r="N20" s="23" t="n">
        <x:v>8</x:v>
      </x:c>
      <x:c r="O20" s="23" t="n">
        <x:v>5</x:v>
      </x:c>
      <x:c r="P20" s="23" t="n">
        <x:f>SUM(J20:O20)</x:f>
        <x:v>84</x:v>
      </x:c>
      <x:c r="Q20" s="18" t="str">
        <x:f>IF(G20="Closed","Closed",IF(G20="Verify","Watchlist",IF(R20&lt;&gt;"None","Blocked / verify",IF(P20&gt;=88,"Apply now",IF(P20&gt;=80,"Targeted",IF(P20&gt;=70,"Stretch","Skip"))))))</x:f>
        <x:v>Targeted</x:v>
      </x:c>
      <x:c r="R20" s="9" t="str">
        <x:v>None</x:v>
      </x:c>
      <x:c r="S20" s="27" t="str">
        <x:v>Good overlap in agentic systems, reusable patterns, guardrails, delivery ownership, and technical communication.</x:v>
      </x:c>
      <x:c r="T20" s="27" t="str">
        <x:v>Public-sector delivery, defense/security policy, vector databases, RAG, and enterprise governance need stronger evidence.</x:v>
      </x:c>
      <x:c r="U20" s="27" t="str">
        <x:v>Lead with structured multimodal agents, retry/fallback logic, evaluation hooks, production handoff, and acceptance criteria.</x:v>
      </x:c>
      <x:c r="V20" s="27" t="str">
        <x:v>Agentic AI; public sector; guardrails; governance; RAG; vector database; reusable patterns; client delivery</x:v>
      </x:c>
      <x:c r="W20" s="27" t="str">
        <x:v>Client-facing, Singapore</x:v>
      </x:c>
      <x:c r="X20" s="27" t="str">
        <x:v>Not stated</x:v>
      </x:c>
      <x:c r="Y20" s="27" t="str">
        <x:v>Not disclosed</x:v>
      </x:c>
      <x:c r="Z20" s="33" t="str">
        <x:v>https://sg.linkedin.com/jobs/view/forward-deployed-ai-engineer-at-accenture-southeast-asia-4435063232</x:v>
      </x:c>
      <x:c r="AA20" s="12" t="n">
        <x:v>46214</x:v>
      </x:c>
      <x:c r="AB20" s="9" t="str">
        <x:v>Not started</x:v>
      </x:c>
      <x:c r="AC20" s="12"/>
      <x:c r="AD20" s="12"/>
      <x:c r="AE20" s="9" t="str"/>
      <x:c r="AF20" s="27" t="str">
        <x:v>Good FDE title signal; likely process-heavy. Tailor for governance and reusable delivery patterns.</x:v>
      </x:c>
    </x:row>
    <x:row r="21" ht="54" customHeight="1">
      <x:c r="A21" s="18" t="n">
        <x:v>20</x:v>
      </x:c>
      <x:c r="B21" s="9" t="str">
        <x:v>Partners Group</x:v>
      </x:c>
      <x:c r="C21" s="9" t="str">
        <x:v>Forward Deployed Engineer (AI Engineer)</x:v>
      </x:c>
      <x:c r="D21" s="9" t="str">
        <x:v>FDE / Solutions</x:v>
      </x:c>
      <x:c r="E21" s="9" t="str">
        <x:v>Singapore</x:v>
      </x:c>
      <x:c r="F21" s="18" t="str">
        <x:v>LinkedIn</x:v>
      </x:c>
      <x:c r="G21" s="18" t="str">
        <x:v>Apply visible</x:v>
      </x:c>
      <x:c r="H21" s="18" t="str">
        <x:v>1 week ago</x:v>
      </x:c>
      <x:c r="I21" s="22" t="n">
        <x:v>46207</x:v>
      </x:c>
      <x:c r="J21" s="23" t="n">
        <x:v>22</x:v>
      </x:c>
      <x:c r="K21" s="23" t="n">
        <x:v>19</x:v>
      </x:c>
      <x:c r="L21" s="23" t="n">
        <x:v>17</x:v>
      </x:c>
      <x:c r="M21" s="23" t="n">
        <x:v>12</x:v>
      </x:c>
      <x:c r="N21" s="23" t="n">
        <x:v>9</x:v>
      </x:c>
      <x:c r="O21" s="23" t="n">
        <x:v>4</x:v>
      </x:c>
      <x:c r="P21" s="23" t="n">
        <x:f>SUM(J21:O21)</x:f>
        <x:v>83</x:v>
      </x:c>
      <x:c r="Q21" s="18" t="str">
        <x:f>IF(G21="Closed","Closed",IF(G21="Verify","Watchlist",IF(R21&lt;&gt;"None","Blocked / verify",IF(P21&gt;=88,"Apply now",IF(P21&gt;=80,"Targeted",IF(P21&gt;=70,"Stretch","Skip"))))))</x:f>
        <x:v>Targeted</x:v>
      </x:c>
      <x:c r="R21" s="9" t="str">
        <x:v>None</x:v>
      </x:c>
      <x:c r="S21" s="27" t="str">
        <x:v>Good match for end-to-end AI product delivery, evaluation cycles, reusable components, Python, APIs, governance, and value gates.</x:v>
      </x:c>
      <x:c r="T21" s="27" t="str">
        <x:v>Financial industry, AWS certification, databases/data platforms, RAG, and 5+ years are notable requirements.</x:v>
      </x:c>
      <x:c r="U21" s="27" t="str">
        <x:v>Emphasize measurable acceptance gates, cross-functional delivery, reusable patterns, and sensitive customer issue handling.</x:v>
      </x:c>
      <x:c r="V21" s="27" t="str">
        <x:v>AI products; RAG; evaluation; governance; ROI; Python; APIs; AWS; databases; financial services</x:v>
      </x:c>
      <x:c r="W21" s="27" t="str">
        <x:v>Singapore</x:v>
      </x:c>
      <x:c r="X21" s="27" t="str">
        <x:v>Not stated</x:v>
      </x:c>
      <x:c r="Y21" s="27" t="str">
        <x:v>Not disclosed</x:v>
      </x:c>
      <x:c r="Z21" s="33" t="str">
        <x:v>https://sg.linkedin.com/jobs/view/forward-deployed-engineer-ai-engineer-at-partners-group-4433597613</x:v>
      </x:c>
      <x:c r="AA21" s="12" t="n">
        <x:v>46214</x:v>
      </x:c>
      <x:c r="AB21" s="9" t="str">
        <x:v>Not started</x:v>
      </x:c>
      <x:c r="AC21" s="12"/>
      <x:c r="AD21" s="12"/>
      <x:c r="AE21" s="9" t="str"/>
      <x:c r="AF21" s="27" t="str">
        <x:v>Targeted stretch. Do not spend time on AWS certification before applying; prepare a credible cloud learning plan.</x:v>
      </x:c>
    </x:row>
    <x:row r="22" ht="54" customHeight="1">
      <x:c r="A22" s="18" t="n">
        <x:v>21</x:v>
      </x:c>
      <x:c r="B22" s="9" t="str">
        <x:v>PhysicsX</x:v>
      </x:c>
      <x:c r="C22" s="9" t="str">
        <x:v>Forward Deployed Software Engineer</x:v>
      </x:c>
      <x:c r="D22" s="9" t="str">
        <x:v>FDE / Physical AI</x:v>
      </x:c>
      <x:c r="E22" s="9" t="str">
        <x:v>Singapore</x:v>
      </x:c>
      <x:c r="F22" s="18" t="str">
        <x:v>LinkedIn</x:v>
      </x:c>
      <x:c r="G22" s="18" t="str">
        <x:v>Apply visible</x:v>
      </x:c>
      <x:c r="H22" s="18" t="str">
        <x:v>1 week ago</x:v>
      </x:c>
      <x:c r="I22" s="22" t="n">
        <x:v>46207</x:v>
      </x:c>
      <x:c r="J22" s="23" t="n">
        <x:v>20</x:v>
      </x:c>
      <x:c r="K22" s="23" t="n">
        <x:v>18</x:v>
      </x:c>
      <x:c r="L22" s="23" t="n">
        <x:v>18</x:v>
      </x:c>
      <x:c r="M22" s="23" t="n">
        <x:v>14</x:v>
      </x:c>
      <x:c r="N22" s="23" t="n">
        <x:v>9</x:v>
      </x:c>
      <x:c r="O22" s="23" t="n">
        <x:v>4</x:v>
      </x:c>
      <x:c r="P22" s="23" t="n">
        <x:f>SUM(J22:O22)</x:f>
        <x:v>83</x:v>
      </x:c>
      <x:c r="Q22" s="18" t="str">
        <x:f>IF(G22="Closed","Closed",IF(G22="Verify","Watchlist",IF(R22&lt;&gt;"None","Blocked / verify",IF(P22&gt;=88,"Apply now",IF(P22&gt;=80,"Targeted",IF(P22&gt;=70,"Stretch","Skip"))))))</x:f>
        <x:v>Targeted</x:v>
      </x:c>
      <x:c r="R22" s="9" t="str">
        <x:v>None</x:v>
      </x:c>
      <x:c r="S22" s="27" t="str">
        <x:v>Good fit for model-to-application delivery, customer problem solving, APIs, production deployment, high ownership, and advanced engineering domains.</x:v>
      </x:c>
      <x:c r="T22" s="27" t="str">
        <x:v>Physics simulation, full-stack applications, numerical engineering, and heavy international travel are new dimensions.</x:v>
      </x:c>
      <x:c r="U22" s="27" t="str">
        <x:v>Lead with converting ML outputs into controllable visual systems and customer-ready services; stress fast domain learning and production handoff.</x:v>
      </x:c>
      <x:c r="V22" s="27" t="str">
        <x:v>Forward deployed software; physics AI; simulation; APIs; production applications; customer delivery; full stack</x:v>
      </x:c>
      <x:c r="W22" s="27" t="str">
        <x:v>Singapore + customer sites</x:v>
      </x:c>
      <x:c r="X22" s="27" t="str">
        <x:v>3-4 weeks per quarter</x:v>
      </x:c>
      <x:c r="Y22" s="27" t="str">
        <x:v>Not disclosed</x:v>
      </x:c>
      <x:c r="Z22" s="33" t="str">
        <x:v>https://sg.linkedin.com/jobs/view/forward-deployed-software-engineer-at-physicsx-4410964392</x:v>
      </x:c>
      <x:c r="AA22" s="12" t="n">
        <x:v>46214</x:v>
      </x:c>
      <x:c r="AB22" s="9" t="str">
        <x:v>Not started</x:v>
      </x:c>
      <x:c r="AC22" s="12"/>
      <x:c r="AD22" s="12"/>
      <x:c r="AE22" s="9" t="str"/>
      <x:c r="AF22" s="27" t="str">
        <x:v>Good role if you are comfortable with frequent travel and broad software work beyond ML.</x:v>
      </x:c>
    </x:row>
    <x:row r="23" ht="54" customHeight="1">
      <x:c r="A23" s="18" t="n">
        <x:v>22</x:v>
      </x:c>
      <x:c r="B23" s="9" t="str">
        <x:v>Resaro</x:v>
      </x:c>
      <x:c r="C23" s="9" t="str">
        <x:v>Senior Solutions Architect - Computer Vision &amp; Embodied AI</x:v>
      </x:c>
      <x:c r="D23" s="9" t="str">
        <x:v>Solutions Architecture</x:v>
      </x:c>
      <x:c r="E23" s="9" t="str">
        <x:v>Singapore</x:v>
      </x:c>
      <x:c r="F23" s="18" t="str">
        <x:v>LinkedIn</x:v>
      </x:c>
      <x:c r="G23" s="18" t="str">
        <x:v>Apply visible</x:v>
      </x:c>
      <x:c r="H23" s="18" t="str">
        <x:v>2 weeks ago</x:v>
      </x:c>
      <x:c r="I23" s="22" t="n">
        <x:v>46200</x:v>
      </x:c>
      <x:c r="J23" s="23" t="n">
        <x:v>22</x:v>
      </x:c>
      <x:c r="K23" s="23" t="n">
        <x:v>21</x:v>
      </x:c>
      <x:c r="L23" s="23" t="n">
        <x:v>17</x:v>
      </x:c>
      <x:c r="M23" s="23" t="n">
        <x:v>9</x:v>
      </x:c>
      <x:c r="N23" s="23" t="n">
        <x:v>9</x:v>
      </x:c>
      <x:c r="O23" s="23" t="n">
        <x:v>4</x:v>
      </x:c>
      <x:c r="P23" s="23" t="n">
        <x:f>SUM(J23:O23)</x:f>
        <x:v>82</x:v>
      </x:c>
      <x:c r="Q23" s="18" t="str">
        <x:f>IF(G23="Closed","Closed",IF(G23="Verify","Watchlist",IF(R23&lt;&gt;"None","Blocked / verify",IF(P23&gt;=88,"Apply now",IF(P23&gt;=80,"Targeted",IF(P23&gt;=70,"Stretch","Skip"))))))</x:f>
        <x:v>Targeted</x:v>
      </x:c>
      <x:c r="R23" s="9" t="str">
        <x:v>None</x:v>
      </x:c>
      <x:c r="S23" s="27" t="str">
        <x:v>Strong subject overlap in CV assurance, evaluation strategy, technical scoping, customer workshops, and delivery handoff.</x:v>
      </x:c>
      <x:c r="T23" s="27" t="str">
        <x:v>Role requests 5-10 years plus embodied AI/robotics, presales, autonomy validation, ROS/simulation, and defense/government exposure.</x:v>
      </x:c>
      <x:c r="U23" s="27" t="str">
        <x:v>Use technical leadership lines and evaluation gates; present as an architect-in-development, not an established robotics solutions architect.</x:v>
      </x:c>
      <x:c r="V23" s="27" t="str">
        <x:v>Solutions architect; computer vision; embodied AI; assurance; V&amp;V; presales; robotics; customer workshops</x:v>
      </x:c>
      <x:c r="W23" s="27" t="str">
        <x:v>Embedded/on-site customer work</x:v>
      </x:c>
      <x:c r="X23" s="27" t="str">
        <x:v>Customer engagements expected</x:v>
      </x:c>
      <x:c r="Y23" s="27" t="str">
        <x:v>Not disclosed</x:v>
      </x:c>
      <x:c r="Z23" s="33" t="str">
        <x:v>https://sg.linkedin.com/jobs/view/solutions-architect-at-resaro-4425415433</x:v>
      </x:c>
      <x:c r="AA23" s="12" t="n">
        <x:v>46214</x:v>
      </x:c>
      <x:c r="AB23" s="9" t="str">
        <x:v>Not started</x:v>
      </x:c>
      <x:c r="AC23" s="12"/>
      <x:c r="AD23" s="12"/>
      <x:c r="AE23" s="9" t="str"/>
      <x:c r="AF23" s="27" t="str">
        <x:v>Apply only if the FDE role is also considered; the FDE opening is the cleaner level fit.</x:v>
      </x:c>
    </x:row>
    <x:row r="24" ht="54" customHeight="1">
      <x:c r="A24" s="18" t="n">
        <x:v>23</x:v>
      </x:c>
      <x:c r="B24" s="9" t="str">
        <x:v>Xinference</x:v>
      </x:c>
      <x:c r="C24" s="9" t="str">
        <x:v>AI Solutions Engineer (Forward Deployment Engineer)</x:v>
      </x:c>
      <x:c r="D24" s="9" t="str">
        <x:v>FDE / Solutions</x:v>
      </x:c>
      <x:c r="E24" s="9" t="str">
        <x:v>Singapore / Remote</x:v>
      </x:c>
      <x:c r="F24" s="18" t="str">
        <x:v>LinkedIn</x:v>
      </x:c>
      <x:c r="G24" s="18" t="str">
        <x:v>Apply visible</x:v>
      </x:c>
      <x:c r="H24" s="18" t="str">
        <x:v>2 weeks ago</x:v>
      </x:c>
      <x:c r="I24" s="22" t="n">
        <x:v>46200</x:v>
      </x:c>
      <x:c r="J24" s="23" t="n">
        <x:v>19</x:v>
      </x:c>
      <x:c r="K24" s="23" t="n">
        <x:v>18</x:v>
      </x:c>
      <x:c r="L24" s="23" t="n">
        <x:v>17</x:v>
      </x:c>
      <x:c r="M24" s="23" t="n">
        <x:v>15</x:v>
      </x:c>
      <x:c r="N24" s="23" t="n">
        <x:v>8</x:v>
      </x:c>
      <x:c r="O24" s="23" t="n">
        <x:v>4</x:v>
      </x:c>
      <x:c r="P24" s="23" t="n">
        <x:f>SUM(J24:O24)</x:f>
        <x:v>81</x:v>
      </x:c>
      <x:c r="Q24" s="18" t="str">
        <x:f>IF(G24="Closed","Closed",IF(G24="Verify","Watchlist",IF(R24&lt;&gt;"None","Blocked / verify",IF(P24&gt;=88,"Apply now",IF(P24&gt;=80,"Targeted",IF(P24&gt;=70,"Stretch","Skip"))))))</x:f>
        <x:v>Targeted</x:v>
      </x:c>
      <x:c r="R24" s="9" t="str">
        <x:v>None</x:v>
      </x:c>
      <x:c r="S24" s="27" t="str">
        <x:v>Relevant inference/deployment background, Python, product demos, technical evaluation plans, customer issues, and product feedback.</x:v>
      </x:c>
      <x:c r="T24" s="27" t="str">
        <x:v>Role is closer to sales engineering; direct presales, CRM, competitive positioning, and public presentation evidence is limited.</x:v>
      </x:c>
      <x:c r="U24" s="27" t="str">
        <x:v>Lead with inference stack breadth, model deployment trade-offs, reproducible demos, reference documentation, and customer technical debugging.</x:v>
      </x:c>
      <x:c r="V24" s="27" t="str">
        <x:v>Solutions engineering; model inference; customer evaluation; demos; DevOps; Python; technical sales; product feedback</x:v>
      </x:c>
      <x:c r="W24" s="27" t="str">
        <x:v>Fully remote; Singapore/SEA coverage</x:v>
      </x:c>
      <x:c r="X24" s="27" t="str">
        <x:v>Up to 45%</x:v>
      </x:c>
      <x:c r="Y24" s="27" t="str">
        <x:v>Not disclosed</x:v>
      </x:c>
      <x:c r="Z24" s="33" t="str">
        <x:v>https://sg.linkedin.com/jobs/view/ai-solutions-engineer-forward-deployment-engineer-at-xinference-4424515251</x:v>
      </x:c>
      <x:c r="AA24" s="12" t="n">
        <x:v>46214</x:v>
      </x:c>
      <x:c r="AB24" s="9" t="str">
        <x:v>Not started</x:v>
      </x:c>
      <x:c r="AC24" s="12"/>
      <x:c r="AD24" s="12"/>
      <x:c r="AE24" s="9" t="str"/>
      <x:c r="AF24" s="27" t="str">
        <x:v>Good option if you want a more commercial/customer-facing path. Clarify quota and presales expectations.</x:v>
      </x:c>
    </x:row>
    <x:row r="25" ht="54" customHeight="1">
      <x:c r="A25" s="18" t="n">
        <x:v>24</x:v>
      </x:c>
      <x:c r="B25" s="9" t="str">
        <x:v>UC Tech</x:v>
      </x:c>
      <x:c r="C25" s="9" t="str">
        <x:v>Forward Deployed Engineer (FDE)</x:v>
      </x:c>
      <x:c r="D25" s="9" t="str">
        <x:v>FDE / Solutions</x:v>
      </x:c>
      <x:c r="E25" s="9" t="str">
        <x:v>Lavender, Singapore</x:v>
      </x:c>
      <x:c r="F25" s="18" t="str">
        <x:v>Jobstreet</x:v>
      </x:c>
      <x:c r="G25" s="18" t="str">
        <x:v>Apply visible</x:v>
      </x:c>
      <x:c r="H25" s="18" t="str">
        <x:v>16 days ago</x:v>
      </x:c>
      <x:c r="I25" s="22" t="n">
        <x:v>46198</x:v>
      </x:c>
      <x:c r="J25" s="23" t="n">
        <x:v>20</x:v>
      </x:c>
      <x:c r="K25" s="23" t="n">
        <x:v>18</x:v>
      </x:c>
      <x:c r="L25" s="23" t="n">
        <x:v>17</x:v>
      </x:c>
      <x:c r="M25" s="23" t="n">
        <x:v>14</x:v>
      </x:c>
      <x:c r="N25" s="23" t="n">
        <x:v>6</x:v>
      </x:c>
      <x:c r="O25" s="23" t="n">
        <x:v>5</x:v>
      </x:c>
      <x:c r="P25" s="23" t="n">
        <x:f>SUM(J25:O25)</x:f>
        <x:v>80</x:v>
      </x:c>
      <x:c r="Q25" s="18" t="str">
        <x:f>IF(G25="Closed","Closed",IF(G25="Verify","Watchlist",IF(R25&lt;&gt;"None","Blocked / verify",IF(P25&gt;=88,"Apply now",IF(P25&gt;=80,"Targeted",IF(P25&gt;=70,"Stretch","Skip"))))))</x:f>
        <x:v>Targeted</x:v>
      </x:c>
      <x:c r="R25" s="9" t="str">
        <x:v>None</x:v>
      </x:c>
      <x:c r="S25" s="27" t="str">
        <x:v>Good match for client discovery, solution design, prototyping, cloud/on-prem integration, APIs, deployment, and handoff.</x:v>
      </x:c>
      <x:c r="T25" s="27" t="str">
        <x:v>Distributed systems, full-stack web/mobile, enterprise cloud, CI/CD, and Kubernetes need stronger evidence.</x:v>
      </x:c>
      <x:c r="U25" s="27" t="str">
        <x:v>Position the model-to-runtime path as full-cycle systems delivery, with API services, C++/Android integration, and reusable documentation.</x:v>
      </x:c>
      <x:c r="V25" s="27" t="str">
        <x:v>FDE; solution architecture; APIs; microservices; cloud; on-prem; CI/CD; Docker; Kubernetes; stakeholder management</x:v>
      </x:c>
      <x:c r="W25" s="27" t="str">
        <x:v>Singapore; client environments</x:v>
      </x:c>
      <x:c r="X25" s="27" t="str">
        <x:v>Not stated</x:v>
      </x:c>
      <x:c r="Y25" s="27" t="str">
        <x:v>Not disclosed</x:v>
      </x:c>
      <x:c r="Z25" s="33" t="str">
        <x:v>https://sg.jobstreet.com/job/92928070</x:v>
      </x:c>
      <x:c r="AA25" s="12" t="n">
        <x:v>46214</x:v>
      </x:c>
      <x:c r="AB25" s="9" t="str">
        <x:v>Not started</x:v>
      </x:c>
      <x:c r="AC25" s="12"/>
      <x:c r="AD25" s="12"/>
      <x:c r="AE25" s="9" t="str"/>
      <x:c r="AF25" s="27" t="str">
        <x:v>Likely a practical interview opportunity. Validate project quality and engineering depth during screening.</x:v>
      </x:c>
    </x:row>
    <x:row r="26" ht="54" customHeight="1">
      <x:c r="A26" s="18" t="n">
        <x:v>25</x:v>
      </x:c>
      <x:c r="B26" s="9" t="str">
        <x:v>Salesforce</x:v>
      </x:c>
      <x:c r="C26" s="9" t="str">
        <x:v>Forward Deployed Engineer - Singapore</x:v>
      </x:c>
      <x:c r="D26" s="9" t="str">
        <x:v>FDE / Solutions</x:v>
      </x:c>
      <x:c r="E26" s="9" t="str">
        <x:v>Singapore</x:v>
      </x:c>
      <x:c r="F26" s="18" t="str">
        <x:v>Company careers</x:v>
      </x:c>
      <x:c r="G26" s="18" t="str">
        <x:v>Apply visible</x:v>
      </x:c>
      <x:c r="H26" s="18" t="str">
        <x:v>3 days ago</x:v>
      </x:c>
      <x:c r="I26" s="22" t="n">
        <x:v>46211</x:v>
      </x:c>
      <x:c r="J26" s="23" t="n">
        <x:v>20</x:v>
      </x:c>
      <x:c r="K26" s="23" t="n">
        <x:v>17</x:v>
      </x:c>
      <x:c r="L26" s="23" t="n">
        <x:v>18</x:v>
      </x:c>
      <x:c r="M26" s="23" t="n">
        <x:v>11</x:v>
      </x:c>
      <x:c r="N26" s="23" t="n">
        <x:v>10</x:v>
      </x:c>
      <x:c r="O26" s="23" t="n">
        <x:v>3</x:v>
      </x:c>
      <x:c r="P26" s="23" t="n">
        <x:f>SUM(J26:O26)</x:f>
        <x:v>79</x:v>
      </x:c>
      <x:c r="Q26" s="18" t="str">
        <x:f>IF(G26="Closed","Closed",IF(G26="Verify","Watchlist",IF(R26&lt;&gt;"None","Blocked / verify",IF(P26&gt;=88,"Apply now",IF(P26&gt;=80,"Targeted",IF(P26&gt;=70,"Stretch","Skip"))))))</x:f>
        <x:v>Stretch</x:v>
      </x:c>
      <x:c r="R26" s="9" t="str">
        <x:v>None</x:v>
      </x:c>
      <x:c r="S26" s="27" t="str">
        <x:v>Good conceptual fit for end-to-end AI delivery, rapid prototypes, debugging, customer partnership, and agent workflows.</x:v>
      </x:c>
      <x:c r="T26" s="27" t="str">
        <x:v>Salesforce platform, Agentforce, Apex, Data Cloud, enterprise data platforms, and 60% travel are major gaps/constraints.</x:v>
      </x:c>
      <x:c r="U26" s="27" t="str">
        <x:v>Lead with agent workflow delivery and production troubleshooting; explicitly frame Salesforce skills as a rapid ramp area.</x:v>
      </x:c>
      <x:c r="V26" s="27" t="str">
        <x:v>Forward deployed; Agentforce; Salesforce; Apex; Data Cloud; LLM agents; enterprise integration; technical delivery</x:v>
      </x:c>
      <x:c r="W26" s="27" t="str">
        <x:v>Office-flexible, Singapore</x:v>
      </x:c>
      <x:c r="X26" s="27" t="str">
        <x:v>Up to 60%</x:v>
      </x:c>
      <x:c r="Y26" s="27" t="str">
        <x:v>Not disclosed</x:v>
      </x:c>
      <x:c r="Z26" s="33" t="str">
        <x:v>https://salesforce.wd12.myworkdayjobs.com/External_Career_Site/job/Singapore---Singapore/Forward-Deployed-Engineer---Singapore_JR349138</x:v>
      </x:c>
      <x:c r="AA26" s="12" t="n">
        <x:v>46214</x:v>
      </x:c>
      <x:c r="AB26" s="9" t="str">
        <x:v>Not started</x:v>
      </x:c>
      <x:c r="AC26" s="12"/>
      <x:c r="AD26" s="12"/>
      <x:c r="AE26" s="9" t="str"/>
      <x:c r="AF26" s="27" t="str">
        <x:v>High brand upside but platform-specific. Apply only if the Salesforce ecosystem is acceptable to your long-term direction.</x:v>
      </x:c>
    </x:row>
    <x:row r="27" ht="54" customHeight="1">
      <x:c r="A27" s="18" t="n">
        <x:v>26</x:v>
      </x:c>
      <x:c r="B27" s="9" t="str">
        <x:v>HappyRobot</x:v>
      </x:c>
      <x:c r="C27" s="9" t="str">
        <x:v>Forward Deployed Engineer</x:v>
      </x:c>
      <x:c r="D27" s="9" t="str">
        <x:v>FDE / Solutions</x:v>
      </x:c>
      <x:c r="E27" s="9" t="str">
        <x:v>Singapore</x:v>
      </x:c>
      <x:c r="F27" s="18" t="str">
        <x:v>LinkedIn</x:v>
      </x:c>
      <x:c r="G27" s="18" t="str">
        <x:v>Apply visible</x:v>
      </x:c>
      <x:c r="H27" s="18" t="str">
        <x:v>1 week ago</x:v>
      </x:c>
      <x:c r="I27" s="22" t="n">
        <x:v>46207</x:v>
      </x:c>
      <x:c r="J27" s="23" t="n">
        <x:v>19</x:v>
      </x:c>
      <x:c r="K27" s="23" t="n">
        <x:v>17</x:v>
      </x:c>
      <x:c r="L27" s="23" t="n">
        <x:v>16</x:v>
      </x:c>
      <x:c r="M27" s="23" t="n">
        <x:v>14</x:v>
      </x:c>
      <x:c r="N27" s="23" t="n">
        <x:v>9</x:v>
      </x:c>
      <x:c r="O27" s="23" t="n">
        <x:v>4</x:v>
      </x:c>
      <x:c r="P27" s="23" t="n">
        <x:f>SUM(J27:O27)</x:f>
        <x:v>79</x:v>
      </x:c>
      <x:c r="Q27" s="18" t="str">
        <x:f>IF(G27="Closed","Closed",IF(G27="Verify","Watchlist",IF(R27&lt;&gt;"None","Blocked / verify",IF(P27&gt;=88,"Apply now",IF(P27&gt;=80,"Targeted",IF(P27&gt;=70,"Stretch","Skip"))))))</x:f>
        <x:v>Stretch</x:v>
      </x:c>
      <x:c r="R27" s="9" t="str">
        <x:v>None</x:v>
      </x:c>
      <x:c r="S27" s="27" t="str">
        <x:v>Relevant customer ownership, Python, AI workflows, APIs, rapid iteration, and production problem solving.</x:v>
      </x:c>
      <x:c r="T27" s="27" t="str">
        <x:v>React, TypeScript, Node.js, voice/transcriber systems, and strong full-stack delivery are explicit must-haves.</x:v>
      </x:c>
      <x:c r="U27" s="27" t="str">
        <x:v>Use the FDE version and include FastAPI/services plus agent workflows; do not hide the front-end gap.</x:v>
      </x:c>
      <x:c r="V27" s="27" t="str">
        <x:v>Forward deployed; full stack; React; TypeScript; Node.js; Python; voice AI; APIs; customer onboarding</x:v>
      </x:c>
      <x:c r="W27" s="27" t="str">
        <x:v>Singapore</x:v>
      </x:c>
      <x:c r="X27" s="27" t="str">
        <x:v>Not stated</x:v>
      </x:c>
      <x:c r="Y27" s="27" t="str">
        <x:v>Not disclosed</x:v>
      </x:c>
      <x:c r="Z27" s="33" t="str">
        <x:v>https://sg.linkedin.com/jobs/view/forward-deployed-engineer-at-happyrobot-4412677971</x:v>
      </x:c>
      <x:c r="AA27" s="12" t="n">
        <x:v>46214</x:v>
      </x:c>
      <x:c r="AB27" s="9" t="str">
        <x:v>Not started</x:v>
      </x:c>
      <x:c r="AC27" s="12"/>
      <x:c r="AD27" s="12"/>
      <x:c r="AE27" s="9" t="str"/>
      <x:c r="AF27" s="27" t="str">
        <x:v>Apply as a stretch only if willing to ramp quickly on TypeScript/React.</x:v>
      </x:c>
    </x:row>
    <x:row r="28" ht="54" customHeight="1">
      <x:c r="A28" s="18" t="n">
        <x:v>27</x:v>
      </x:c>
      <x:c r="B28" s="9" t="str">
        <x:v>Woh Hup Group</x:v>
      </x:c>
      <x:c r="C28" s="9" t="str">
        <x:v>AI Solutions Engineer</x:v>
      </x:c>
      <x:c r="D28" s="9" t="str">
        <x:v>Multimodal / Applied AI</x:v>
      </x:c>
      <x:c r="E28" s="9" t="str">
        <x:v>Singapore</x:v>
      </x:c>
      <x:c r="F28" s="18" t="str">
        <x:v>LinkedIn</x:v>
      </x:c>
      <x:c r="G28" s="18" t="str">
        <x:v>Apply visible</x:v>
      </x:c>
      <x:c r="H28" s="18" t="str">
        <x:v>2 weeks ago</x:v>
      </x:c>
      <x:c r="I28" s="22" t="n">
        <x:v>46200</x:v>
      </x:c>
      <x:c r="J28" s="23" t="n">
        <x:v>20</x:v>
      </x:c>
      <x:c r="K28" s="23" t="n">
        <x:v>17</x:v>
      </x:c>
      <x:c r="L28" s="23" t="n">
        <x:v>16</x:v>
      </x:c>
      <x:c r="M28" s="23" t="n">
        <x:v>15</x:v>
      </x:c>
      <x:c r="N28" s="23" t="n">
        <x:v>6</x:v>
      </x:c>
      <x:c r="O28" s="23" t="n">
        <x:v>5</x:v>
      </x:c>
      <x:c r="P28" s="23" t="n">
        <x:f>SUM(J28:O28)</x:f>
        <x:v>79</x:v>
      </x:c>
      <x:c r="Q28" s="18" t="str">
        <x:f>IF(G28="Closed","Closed",IF(G28="Verify","Watchlist",IF(R28&lt;&gt;"None","Blocked / verify",IF(P28&gt;=88,"Apply now",IF(P28&gt;=80,"Targeted",IF(P28&gt;=70,"Stretch","Skip"))))))</x:f>
        <x:v>Stretch</x:v>
      </x:c>
      <x:c r="R28" s="9" t="str">
        <x:v>None</x:v>
      </x:c>
      <x:c r="S28" s="27" t="str">
        <x:v>Good match for pragmatic LLM workflows, APIs, prototypes, stakeholder discovery, integration, evaluation, deployment, and handoff.</x:v>
      </x:c>
      <x:c r="T28" s="27" t="str">
        <x:v>Role may be less technically deep; Azure AI and construction operations are not current strengths.</x:v>
      </x:c>
      <x:c r="U28" s="27" t="str">
        <x:v>Lead with NUS construction CV research, stakeholder translation, structured LLM/VLM workflows, and maintainable handoff.</x:v>
      </x:c>
      <x:c r="V28" s="27" t="str">
        <x:v>AI solutions; LLM; prompt engineering; workflow automation; APIs; Azure AI; stakeholder discovery; construction</x:v>
      </x:c>
      <x:c r="W28" s="27" t="str">
        <x:v>Singapore</x:v>
      </x:c>
      <x:c r="X28" s="27" t="str">
        <x:v>Not stated</x:v>
      </x:c>
      <x:c r="Y28" s="27" t="str">
        <x:v>Not disclosed</x:v>
      </x:c>
      <x:c r="Z28" s="33" t="str">
        <x:v>https://sg.linkedin.com/jobs/view/ai-solutions-engineer-at-woh-hup-group-4418951516</x:v>
      </x:c>
      <x:c r="AA28" s="12" t="n">
        <x:v>46214</x:v>
      </x:c>
      <x:c r="AB28" s="9" t="str">
        <x:v>Not started</x:v>
      </x:c>
      <x:c r="AC28" s="12"/>
      <x:c r="AD28" s="12"/>
      <x:c r="AE28" s="9" t="str"/>
      <x:c r="AF28" s="27" t="str">
        <x:v>Good probability role and coherent with prior construction research; check compensation and technical ownership.</x:v>
      </x:c>
    </x:row>
    <x:row r="29" ht="54" customHeight="1">
      <x:c r="A29" s="18" t="n">
        <x:v>28</x:v>
      </x:c>
      <x:c r="B29" s="9" t="str">
        <x:v>Chalk</x:v>
      </x:c>
      <x:c r="C29" s="9" t="str">
        <x:v>Forward Deployed Engineer</x:v>
      </x:c>
      <x:c r="D29" s="9" t="str">
        <x:v>FDE / ML Infrastructure</x:v>
      </x:c>
      <x:c r="E29" s="9" t="str">
        <x:v>Singapore</x:v>
      </x:c>
      <x:c r="F29" s="18" t="str">
        <x:v>LinkedIn</x:v>
      </x:c>
      <x:c r="G29" s="18" t="str">
        <x:v>Apply visible</x:v>
      </x:c>
      <x:c r="H29" s="18" t="str">
        <x:v>3 hours ago</x:v>
      </x:c>
      <x:c r="I29" s="22" t="n">
        <x:v>46214</x:v>
      </x:c>
      <x:c r="J29" s="23" t="n">
        <x:v>18</x:v>
      </x:c>
      <x:c r="K29" s="23" t="n">
        <x:v>17</x:v>
      </x:c>
      <x:c r="L29" s="23" t="n">
        <x:v>15</x:v>
      </x:c>
      <x:c r="M29" s="23" t="n">
        <x:v>14</x:v>
      </x:c>
      <x:c r="N29" s="23" t="n">
        <x:v>9</x:v>
      </x:c>
      <x:c r="O29" s="23" t="n">
        <x:v>4</x:v>
      </x:c>
      <x:c r="P29" s="23" t="n">
        <x:f>SUM(J29:O29)</x:f>
        <x:v>77</x:v>
      </x:c>
      <x:c r="Q29" s="18" t="str">
        <x:f>IF(G29="Closed","Closed",IF(G29="Verify","Watchlist",IF(R29&lt;&gt;"None","Blocked / verify",IF(P29&gt;=88,"Apply now",IF(P29&gt;=80,"Targeted",IF(P29&gt;=70,"Stretch","Skip"))))))</x:f>
        <x:v>Stretch</x:v>
      </x:c>
      <x:c r="R29" s="9" t="str">
        <x:v>None</x:v>
      </x:c>
      <x:c r="S29" s="27" t="str">
        <x:v>Relevant customer engineering, ML products, Python, requirements gathering, production debugging, and technical communication.</x:v>
      </x:c>
      <x:c r="T29" s="27" t="str">
        <x:v>Backend/data infrastructure, SQL, feature pipelines, recommendation/fraud domains, and 4+ years backend SWE are weak matches.</x:v>
      </x:c>
      <x:c r="U29" s="27" t="str">
        <x:v>Frame the reusable training-to-deployment foundation as ML platform work; add Python tooling and data/evaluation infrastructure.</x:v>
      </x:c>
      <x:c r="V29" s="27" t="str">
        <x:v>Forward deployed; ML infrastructure; feature pipelines; Python; SQL; backend; customer engineering; MLOps</x:v>
      </x:c>
      <x:c r="W29" s="27" t="str">
        <x:v>In-person, Singapore</x:v>
      </x:c>
      <x:c r="X29" s="27" t="str">
        <x:v>Not stated</x:v>
      </x:c>
      <x:c r="Y29" s="27" t="str">
        <x:v>Not disclosed</x:v>
      </x:c>
      <x:c r="Z29" s="33" t="str">
        <x:v>https://sg.linkedin.com/jobs/view/forward-deployed-engineer-at-chalk-4406571080</x:v>
      </x:c>
      <x:c r="AA29" s="12" t="n">
        <x:v>46214</x:v>
      </x:c>
      <x:c r="AB29" s="9" t="str">
        <x:v>Not started</x:v>
      </x:c>
      <x:c r="AC29" s="12"/>
      <x:c r="AD29" s="12"/>
      <x:c r="AE29" s="9" t="str"/>
      <x:c r="AF29" s="27" t="str">
        <x:v>Fresh listing but a weaker domain match. Apply only after higher-priority roles.</x:v>
      </x:c>
    </x:row>
    <x:row r="30" ht="54" customHeight="1">
      <x:c r="A30" s="18" t="n">
        <x:v>29</x:v>
      </x:c>
      <x:c r="B30" s="9" t="str">
        <x:v>NVIDIA</x:v>
      </x:c>
      <x:c r="C30" s="9" t="str">
        <x:v>Solutions Architect, GenAI</x:v>
      </x:c>
      <x:c r="D30" s="9" t="str">
        <x:v>Solutions Architecture</x:v>
      </x:c>
      <x:c r="E30" s="9" t="str">
        <x:v>Singapore</x:v>
      </x:c>
      <x:c r="F30" s="18" t="str">
        <x:v>LinkedIn</x:v>
      </x:c>
      <x:c r="G30" s="18" t="str">
        <x:v>Apply visible</x:v>
      </x:c>
      <x:c r="H30" s="18" t="str">
        <x:v>1 week ago</x:v>
      </x:c>
      <x:c r="I30" s="22" t="n">
        <x:v>46207</x:v>
      </x:c>
      <x:c r="J30" s="23" t="n">
        <x:v>19</x:v>
      </x:c>
      <x:c r="K30" s="23" t="n">
        <x:v>17</x:v>
      </x:c>
      <x:c r="L30" s="23" t="n">
        <x:v>16</x:v>
      </x:c>
      <x:c r="M30" s="23" t="n">
        <x:v>5</x:v>
      </x:c>
      <x:c r="N30" s="23" t="n">
        <x:v>10</x:v>
      </x:c>
      <x:c r="O30" s="23" t="n">
        <x:v>3</x:v>
      </x:c>
      <x:c r="P30" s="23" t="n">
        <x:f>SUM(J30:O30)</x:f>
        <x:v>70</x:v>
      </x:c>
      <x:c r="Q30" s="18" t="str">
        <x:f>IF(G30="Closed","Closed",IF(G30="Verify","Watchlist",IF(R30&lt;&gt;"None","Blocked / verify",IF(P30&gt;=88,"Apply now",IF(P30&gt;=80,"Targeted",IF(P30&gt;=70,"Stretch","Skip"))))))</x:f>
        <x:v>Stretch</x:v>
      </x:c>
      <x:c r="R30" s="9" t="str">
        <x:v>None</x:v>
      </x:c>
      <x:c r="S30" s="27" t="str">
        <x:v>Relevant GPU inference, TensorRT, Docker, model deployment, technical trade-offs, and customer-facing architecture direction.</x:v>
      </x:c>
      <x:c r="T30" s="27" t="str">
        <x:v>Requires 8+ years, LLM training at scale, NeMo/Megatron, distributed GPU infrastructure, workshops, and Mandarin preference.</x:v>
      </x:c>
      <x:c r="U30" s="27" t="str">
        <x:v>Lead with TensorRT, quantization, GPU rendering/services, and deployment debugging; treat as a long-shot stretch.</x:v>
      </x:c>
      <x:c r="V30" s="27" t="str">
        <x:v>Solutions architect; GenAI; NVIDIA; NeMo; Megatron; GPU; distributed training; TensorRT; workshops</x:v>
      </x:c>
      <x:c r="W30" s="27" t="str">
        <x:v>Singapore / regional customers</x:v>
      </x:c>
      <x:c r="X30" s="27" t="str">
        <x:v>Up to 30%</x:v>
      </x:c>
      <x:c r="Y30" s="27" t="str">
        <x:v>Not disclosed</x:v>
      </x:c>
      <x:c r="Z30" s="33" t="str">
        <x:v>https://sg.linkedin.com/jobs/view/solutions-architect-genai-at-nvidia-4407657199</x:v>
      </x:c>
      <x:c r="AA30" s="12" t="n">
        <x:v>46214</x:v>
      </x:c>
      <x:c r="AB30" s="9" t="str">
        <x:v>Not started</x:v>
      </x:c>
      <x:c r="AC30" s="12"/>
      <x:c r="AD30" s="12"/>
      <x:c r="AE30" s="9" t="str"/>
      <x:c r="AF30" s="27" t="str">
        <x:v>Apply only with referral or strong hiring-manager interest. Better used as a skills roadmap than a core funnel role.</x:v>
      </x:c>
    </x:row>
    <x:row r="31" ht="54" customHeight="1">
      <x:c r="A31" s="18" t="n">
        <x:v>30</x:v>
      </x:c>
      <x:c r="B31" s="9" t="str">
        <x:v>Phridom AI</x:v>
      </x:c>
      <x:c r="C31" s="9" t="str">
        <x:v>Perception Engineer</x:v>
      </x:c>
      <x:c r="D31" s="9" t="str">
        <x:v>Computer Vision / Robotics</x:v>
      </x:c>
      <x:c r="E31" s="9" t="str">
        <x:v>Singapore</x:v>
      </x:c>
      <x:c r="F31" s="18" t="str">
        <x:v>LinkedIn</x:v>
      </x:c>
      <x:c r="G31" s="18" t="str">
        <x:v>Verify</x:v>
      </x:c>
      <x:c r="H31" s="18" t="str">
        <x:v>4 months ago</x:v>
      </x:c>
      <x:c r="I31" s="22" t="n">
        <x:v>46092</x:v>
      </x:c>
      <x:c r="J31" s="23" t="n">
        <x:v>22</x:v>
      </x:c>
      <x:c r="K31" s="23" t="n">
        <x:v>21</x:v>
      </x:c>
      <x:c r="L31" s="23" t="n">
        <x:v>18</x:v>
      </x:c>
      <x:c r="M31" s="23" t="n">
        <x:v>14</x:v>
      </x:c>
      <x:c r="N31" s="23" t="n">
        <x:v>7</x:v>
      </x:c>
      <x:c r="O31" s="23" t="n">
        <x:v>4</x:v>
      </x:c>
      <x:c r="P31" s="23" t="n">
        <x:f>SUM(J31:O31)</x:f>
        <x:v>86</x:v>
      </x:c>
      <x:c r="Q31" s="18" t="str">
        <x:f>IF(G31="Closed","Closed",IF(G31="Verify","Watchlist",IF(R31&lt;&gt;"None","Blocked / verify",IF(P31&gt;=88,"Apply now",IF(P31&gt;=80,"Targeted",IF(P31&gt;=70,"Stretch","Skip"))))))</x:f>
        <x:v>Watchlist</x:v>
      </x:c>
      <x:c r="R31" s="9" t="str">
        <x:v>None</x:v>
      </x:c>
      <x:c r="S31" s="27" t="str">
        <x:v>Strong match for robust CV pipelines, temporal consistency, segmentation/tracking, edge cases, production quality, and subsystem ownership.</x:v>
      </x:c>
      <x:c r="T31" s="27" t="str">
        <x:v>Robotics, multi-view perception, simulation, and embodied systems are not explicit; listing age requires verification.</x:v>
      </x:c>
      <x:c r="U31" s="27" t="str">
        <x:v>Lead with tracking, state machines, long-tail visual failures, runtime fallbacks, and downstream-consumable model outputs.</x:v>
      </x:c>
      <x:c r="V31" s="27" t="str">
        <x:v>Perception; temporal consistency; tracking; segmentation; multi-view; robotics; edge cases; production vision</x:v>
      </x:c>
      <x:c r="W31" s="27" t="str">
        <x:v>Singapore</x:v>
      </x:c>
      <x:c r="X31" s="27" t="str">
        <x:v>Not stated</x:v>
      </x:c>
      <x:c r="Y31" s="27" t="str">
        <x:v>Not disclosed</x:v>
      </x:c>
      <x:c r="Z31" s="33" t="str">
        <x:v>https://sg.linkedin.com/jobs/view/perception-engineer-at-phridom-ai-4380682921</x:v>
      </x:c>
      <x:c r="AA31" s="12" t="n">
        <x:v>46214</x:v>
      </x:c>
      <x:c r="AB31" s="9" t="str">
        <x:v>Not started</x:v>
      </x:c>
      <x:c r="AC31" s="12"/>
      <x:c r="AD31" s="12"/>
      <x:c r="AE31" s="9" t="str"/>
      <x:c r="AF31" s="27" t="str">
        <x:v>Excellent content fit but stale. Contact the company/recruiter before tailoring.</x:v>
      </x:c>
    </x:row>
    <x:row r="32" ht="54" customHeight="1">
      <x:c r="A32" s="18" t="n">
        <x:v>31</x:v>
      </x:c>
      <x:c r="B32" s="9" t="str">
        <x:v>Unblink</x:v>
      </x:c>
      <x:c r="C32" s="9" t="str">
        <x:v>Forward Deployed Engineer (AI Vision)</x:v>
      </x:c>
      <x:c r="D32" s="9" t="str">
        <x:v>FDE / Physical AI</x:v>
      </x:c>
      <x:c r="E32" s="9" t="str">
        <x:v>Singapore</x:v>
      </x:c>
      <x:c r="F32" s="18" t="str">
        <x:v>LinkedIn</x:v>
      </x:c>
      <x:c r="G32" s="18" t="str">
        <x:v>Verify</x:v>
      </x:c>
      <x:c r="H32" s="18" t="str">
        <x:v>3 months ago</x:v>
      </x:c>
      <x:c r="I32" s="22" t="n">
        <x:v>46123</x:v>
      </x:c>
      <x:c r="J32" s="23" t="n">
        <x:v>25</x:v>
      </x:c>
      <x:c r="K32" s="23" t="n">
        <x:v>24</x:v>
      </x:c>
      <x:c r="L32" s="23" t="n">
        <x:v>20</x:v>
      </x:c>
      <x:c r="M32" s="23" t="n">
        <x:v>15</x:v>
      </x:c>
      <x:c r="N32" s="23" t="n">
        <x:v>7</x:v>
      </x:c>
      <x:c r="O32" s="23" t="n">
        <x:v>4</x:v>
      </x:c>
      <x:c r="P32" s="23" t="n">
        <x:f>SUM(J32:O32)</x:f>
        <x:v>95</x:v>
      </x:c>
      <x:c r="Q32" s="18" t="str">
        <x:f>IF(G32="Closed","Closed",IF(G32="Verify","Watchlist",IF(R32&lt;&gt;"None","Blocked / verify",IF(P32&gt;=88,"Apply now",IF(P32&gt;=80,"Targeted",IF(P32&gt;=70,"Stretch","Skip"))))))</x:f>
        <x:v>Watchlist</x:v>
      </x:c>
      <x:c r="R32" s="9" t="str">
        <x:v>None</x:v>
      </x:c>
      <x:c r="S32" s="27" t="str">
        <x:v>Almost exact domain match: customer sites, cameras, edge devices, Linux/networking, Docker, CV/VLM methods, deployment reliability, and field feedback.</x:v>
      </x:c>
      <x:c r="T32" s="27" t="str">
        <x:v>Networking, camera protocols, hardware provisioning, and TypeScript/Rust/Go are less evidenced; listing age requires verification.</x:v>
      </x:c>
      <x:c r="U32" s="27" t="str">
        <x:v>Use the strongest camera AI and edge deployment bullets, plus device debugging, Docker, model serving, failure analysis, and handoff.</x:v>
      </x:c>
      <x:c r="V32" s="27" t="str">
        <x:v>AI vision; forward deployed; cameras; edge devices; Linux; networking; Docker; VLM; field deployment</x:v>
      </x:c>
      <x:c r="W32" s="27" t="str">
        <x:v>On-site factories / field deployments</x:v>
      </x:c>
      <x:c r="X32" s="27" t="str">
        <x:v>Required</x:v>
      </x:c>
      <x:c r="Y32" s="27" t="str">
        <x:v>Not disclosed</x:v>
      </x:c>
      <x:c r="Z32" s="33" t="str">
        <x:v>https://sg.linkedin.com/jobs/view/forward-deployed-engineer-at-unblink-4388790693</x:v>
      </x:c>
      <x:c r="AA32" s="12" t="n">
        <x:v>46214</x:v>
      </x:c>
      <x:c r="AB32" s="9" t="str">
        <x:v>Not started</x:v>
      </x:c>
      <x:c r="AC32" s="12"/>
      <x:c r="AD32" s="12"/>
      <x:c r="AE32" s="9" t="str"/>
      <x:c r="AF32" s="27" t="str">
        <x:v>Highest content fit in the list, but verify that hiring is still open before investing in tailoring.</x:v>
      </x:c>
    </x:row>
    <x:row r="33" ht="54" customHeight="1">
      <x:c r="A33" s="18" t="n">
        <x:v>32</x:v>
      </x:c>
      <x:c r="B33" s="9" t="str">
        <x:v>Infinium Robotics</x:v>
      </x:c>
      <x:c r="C33" s="9" t="str">
        <x:v>Computer Vision Engineer</x:v>
      </x:c>
      <x:c r="D33" s="9" t="str">
        <x:v>Computer Vision / Robotics</x:v>
      </x:c>
      <x:c r="E33" s="9" t="str">
        <x:v>Singapore</x:v>
      </x:c>
      <x:c r="F33" s="18" t="str">
        <x:v>LinkedIn</x:v>
      </x:c>
      <x:c r="G33" s="18" t="str">
        <x:v>Verify</x:v>
      </x:c>
      <x:c r="H33" s="18" t="str">
        <x:v>3 months ago</x:v>
      </x:c>
      <x:c r="I33" s="22" t="n">
        <x:v>46123</x:v>
      </x:c>
      <x:c r="J33" s="23" t="n">
        <x:v>20</x:v>
      </x:c>
      <x:c r="K33" s="23" t="n">
        <x:v>18</x:v>
      </x:c>
      <x:c r="L33" s="23" t="n">
        <x:v>15</x:v>
      </x:c>
      <x:c r="M33" s="23" t="n">
        <x:v>15</x:v>
      </x:c>
      <x:c r="N33" s="23" t="n">
        <x:v>6</x:v>
      </x:c>
      <x:c r="O33" s="23" t="n">
        <x:v>4</x:v>
      </x:c>
      <x:c r="P33" s="23" t="n">
        <x:f>SUM(J33:O33)</x:f>
        <x:v>78</x:v>
      </x:c>
      <x:c r="Q33" s="18" t="str">
        <x:f>IF(G33="Closed","Closed",IF(G33="Verify","Watchlist",IF(R33&lt;&gt;"None","Blocked / verify",IF(P33&gt;=88,"Apply now",IF(P33&gt;=80,"Targeted",IF(P33&gt;=70,"Stretch","Skip"))))))</x:f>
        <x:v>Watchlist</x:v>
      </x:c>
      <x:c r="R33" s="9" t="str">
        <x:v>None</x:v>
      </x:c>
      <x:c r="S33" s="27" t="str">
        <x:v>Good baseline match in Python/C++, CV algorithms, robotics integration, experiments, and real-world systems.</x:v>
      </x:c>
      <x:c r="T33" s="27" t="str">
        <x:v>Role description is broad and likely less senior; robotics platform depth is not shown; listing age requires verification.</x:v>
      </x:c>
      <x:c r="U33" s="27" t="str">
        <x:v>Lead with production CV deployment and integration, not research-only work; ask about scope and seniority before applying.</x:v>
      </x:c>
      <x:c r="V33" s="27" t="str">
        <x:v>Computer vision; robotics; Python; C++; autonomous systems; integration; experiments; deployment</x:v>
      </x:c>
      <x:c r="W33" s="27" t="str">
        <x:v>On-site, Singapore</x:v>
      </x:c>
      <x:c r="X33" s="27" t="str">
        <x:v>Not stated</x:v>
      </x:c>
      <x:c r="Y33" s="27" t="str">
        <x:v>Not disclosed</x:v>
      </x:c>
      <x:c r="Z33" s="33" t="str">
        <x:v>https://sg.linkedin.com/jobs/view/computer-vision-engineer-at-infinium-robotics-4382846509</x:v>
      </x:c>
      <x:c r="AA33" s="12" t="n">
        <x:v>46214</x:v>
      </x:c>
      <x:c r="AB33" s="9" t="str">
        <x:v>Not started</x:v>
      </x:c>
      <x:c r="AC33" s="12"/>
      <x:c r="AD33" s="12"/>
      <x:c r="AE33" s="9" t="str"/>
      <x:c r="AF33" s="27" t="str">
        <x:v>Use as a backup only after confirming current scope, level, and compensation.</x:v>
      </x:c>
    </x:row>
    <x:row r="34" ht="54" customHeight="1">
      <x:c r="A34" s="18" t="n">
        <x:v>33</x:v>
      </x:c>
      <x:c r="B34" s="9" t="str">
        <x:v>Innowave Tech</x:v>
      </x:c>
      <x:c r="C34" s="9" t="str">
        <x:v>Forward Deployment Engineer - Industrial AI</x:v>
      </x:c>
      <x:c r="D34" s="9" t="str">
        <x:v>FDE / Physical AI</x:v>
      </x:c>
      <x:c r="E34" s="9" t="str">
        <x:v>Singapore</x:v>
      </x:c>
      <x:c r="F34" s="18" t="str">
        <x:v>LinkedIn</x:v>
      </x:c>
      <x:c r="G34" s="18" t="str">
        <x:v>Apply visible</x:v>
      </x:c>
      <x:c r="H34" s="18" t="str">
        <x:v>13 hours ago</x:v>
      </x:c>
      <x:c r="I34" s="22" t="n">
        <x:v>46213</x:v>
      </x:c>
      <x:c r="J34" s="23" t="n">
        <x:v>24</x:v>
      </x:c>
      <x:c r="K34" s="23" t="n">
        <x:v>22</x:v>
      </x:c>
      <x:c r="L34" s="23" t="n">
        <x:v>20</x:v>
      </x:c>
      <x:c r="M34" s="23" t="n">
        <x:v>15</x:v>
      </x:c>
      <x:c r="N34" s="23" t="n">
        <x:v>7</x:v>
      </x:c>
      <x:c r="O34" s="23" t="n">
        <x:v>2</x:v>
      </x:c>
      <x:c r="P34" s="23" t="n">
        <x:f>SUM(J34:O34)</x:f>
        <x:v>90</x:v>
      </x:c>
      <x:c r="Q34" s="18" t="str">
        <x:f>IF(G34="Closed","Closed",IF(G34="Verify","Watchlist",IF(R34&lt;&gt;"None","Blocked / verify",IF(P34&gt;=88,"Apply now",IF(P34&gt;=80,"Targeted",IF(P34&gt;=70,"Stretch","Skip"))))))</x:f>
        <x:v>Blocked / verify</x:v>
      </x:c>
      <x:c r="R34" s="9" t="str">
        <x:v>Confirm SG work authorization; role states no work pass or visa sponsorship</x:v>
      </x:c>
      <x:c r="S34" s="27" t="str">
        <x:v>Strong match for industrial CV, edge/cloud deployment, customer integration, validation, optimization, issue diagnosis, and reusable deployment frameworks.</x:v>
      </x:c>
      <x:c r="T34" s="27" t="str">
        <x:v>Work authorization may block; semiconductor manufacturing domain and equipment data are not explicit.</x:v>
      </x:c>
      <x:c r="U34" s="27" t="str">
        <x:v>Lead with production camera AI, device-side deployment, customer issue triage, validation gates, and Mandarin cross-team communication if applicable.</x:v>
      </x:c>
      <x:c r="V34" s="27" t="str">
        <x:v>Industrial AI; semiconductor; forward deployment; edge/cloud; integration; validation; customer-facing; manufacturing</x:v>
      </x:c>
      <x:c r="W34" s="27" t="str">
        <x:v>Hybrid/on-site</x:v>
      </x:c>
      <x:c r="X34" s="27" t="str">
        <x:v>Regional travel required</x:v>
      </x:c>
      <x:c r="Y34" s="27" t="str">
        <x:v>Not disclosed</x:v>
      </x:c>
      <x:c r="Z34" s="33" t="str">
        <x:v>https://sg.linkedin.com/jobs/view/forward-deployment-engineer-industrial-ai-at-innowave-tech-pte-ltd-4431944809</x:v>
      </x:c>
      <x:c r="AA34" s="12" t="n">
        <x:v>46214</x:v>
      </x:c>
      <x:c r="AB34" s="9" t="str">
        <x:v>Hold</x:v>
      </x:c>
      <x:c r="AC34" s="12"/>
      <x:c r="AD34" s="12"/>
      <x:c r="AE34" s="9" t="str"/>
      <x:c r="AF34" s="27" t="str">
        <x:v>Technically one of the best fits. Check work authorization before any tailoring.</x:v>
      </x:c>
    </x:row>
    <x:row r="35" ht="54" customHeight="1">
      <x:c r="A35" s="19" t="n">
        <x:v>34</x:v>
      </x:c>
      <x:c r="B35" s="10" t="str">
        <x:v>Rebellions</x:v>
      </x:c>
      <x:c r="C35" s="10" t="str">
        <x:v>[Singapore] Forward Deployed Engineer</x:v>
      </x:c>
      <x:c r="D35" s="10" t="str">
        <x:v>FDE / ML Infrastructure</x:v>
      </x:c>
      <x:c r="E35" s="10" t="str">
        <x:v>Singapore</x:v>
      </x:c>
      <x:c r="F35" s="19" t="str">
        <x:v>LinkedIn</x:v>
      </x:c>
      <x:c r="G35" s="19" t="str">
        <x:v>Apply visible</x:v>
      </x:c>
      <x:c r="H35" s="19" t="str">
        <x:v>5 days ago</x:v>
      </x:c>
      <x:c r="I35" s="24" t="n">
        <x:v>46209</x:v>
      </x:c>
      <x:c r="J35" s="25" t="n">
        <x:v>22</x:v>
      </x:c>
      <x:c r="K35" s="25" t="n">
        <x:v>21</x:v>
      </x:c>
      <x:c r="L35" s="25" t="n">
        <x:v>19</x:v>
      </x:c>
      <x:c r="M35" s="25" t="n">
        <x:v>14</x:v>
      </x:c>
      <x:c r="N35" s="25" t="n">
        <x:v>9</x:v>
      </x:c>
      <x:c r="O35" s="25" t="n">
        <x:v>1</x:v>
      </x:c>
      <x:c r="P35" s="25" t="n">
        <x:f>SUM(J35:O35)</x:f>
        <x:v>86</x:v>
      </x:c>
      <x:c r="Q35" s="19" t="str">
        <x:f>IF(G35="Closed","Closed",IF(G35="Verify","Watchlist",IF(R35&lt;&gt;"None","Blocked / verify",IF(P35&gt;=88,"Apply now",IF(P35&gt;=80,"Targeted",IF(P35&gt;=70,"Stretch","Skip"))))))</x:f>
        <x:v>Blocked / verify</x:v>
      </x:c>
      <x:c r="R35" s="10" t="str">
        <x:v>Singapore Citizens only</x:v>
      </x:c>
      <x:c r="S35" s="28" t="str">
        <x:v>Strong technical overlap in inference deployment, PyTorch, vision pipelines, quantization, benchmarking, customer troubleshooting, and documentation.</x:v>
      </x:c>
      <x:c r="T35" s="28" t="str">
        <x:v>Citizenship is a hard gate; Kubernetes-based LLM serving, vLLM/Dynamo, GPU networking, and presales demos need depth.</x:v>
      </x:c>
      <x:c r="U35" s="28" t="str">
        <x:v>If eligible, lead with inference optimization, model export/quantization, deployment debugging, visual workloads, and technical documentation.</x:v>
      </x:c>
      <x:c r="V35" s="28" t="str">
        <x:v>AI inference; NPU; PyTorch; vLLM; Kubernetes; benchmarking; quantization; solutions engineering; hardware acceleration</x:v>
      </x:c>
      <x:c r="W35" s="28" t="str">
        <x:v>Singapore / regional customers</x:v>
      </x:c>
      <x:c r="X35" s="28" t="str">
        <x:v>Regional customer work expected</x:v>
      </x:c>
      <x:c r="Y35" s="28" t="str">
        <x:v>Not disclosed</x:v>
      </x:c>
      <x:c r="Z35" s="34" t="str">
        <x:v>https://sg.linkedin.com/jobs/view/singapore-forward-deployed-engineer-at-rebellions-4433557332</x:v>
      </x:c>
      <x:c r="AA35" s="13" t="n">
        <x:v>46214</x:v>
      </x:c>
      <x:c r="AB35" s="10" t="str">
        <x:v>Hold</x:v>
      </x:c>
      <x:c r="AC35" s="13"/>
      <x:c r="AD35" s="13"/>
      <x:c r="AE35" s="10" t="str"/>
      <x:c r="AF35" s="28" t="str">
        <x:v>Do not apply unless the citizenship requirement is met.</x:v>
      </x:c>
    </x:row>
  </x:sheetData>
  <x:conditionalFormatting sqref="Q2:Q35">
    <x:cfRule type="containsText" dxfId="0" priority="1" operator="containsText" text="Apply now"/>
    <x:cfRule type="containsText" dxfId="1" priority="2" operator="containsText" text="Targeted"/>
    <x:cfRule type="containsText" dxfId="2" priority="3" operator="containsText" text="Stretch"/>
    <x:cfRule type="containsText" dxfId="3" priority="4" operator="containsText" text="Watchlist"/>
    <x:cfRule type="containsText" dxfId="4" priority="5" operator="containsText" text="Blocked"/>
  </x:conditionalFormatting>
  <x:conditionalFormatting sqref="P2:P35">
    <x:cfRule type="dataBar" priority="6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{28785BCD-54D1-FFA6-9E52-812C5A13B062}</x14:id>
        </x:ext>
      </x:extLst>
    </x:cfRule>
  </x:conditionalFormatting>
  <x:conditionalFormatting sqref="G2:G35">
    <x:cfRule type="containsText" dxfId="5" priority="7" operator="containsText" text="Verify"/>
  </x:conditionalFormatting>
  <x:conditionalFormatting sqref="R2:R35">
    <x:cfRule type="notContainsText" dxfId="6" priority="8" text="None"/>
  </x:conditionalFormatting>
  <x:dataValidations count="1">
    <x:dataValidation type="list" sqref="AB2:AB35">
      <x:formula1>"Not started,Tailoring,Applied,Recruiter screen,Interview,Offer,Rejected,Withdrawn,Hold"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0be47bca44f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28785BCD-54D1-FFA6-9E52-812C5A13B062}">
            <x14:dataBar gradient="1">
              <x14:cfvo type="min"/>
              <x14:cfvo type="max"/>
              <x14:fillColor rgb="FF0F766E"/>
            </x14:dataBar>
          </x14:cfRule>
          <xm:sqref>P2:P35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2" hidden="0" customWidth="1"/>
    <x:col min="4" max="4" width="30" hidden="0" customWidth="1"/>
    <x:col min="5" max="5" width="28" hidden="0" customWidth="1"/>
    <x:col min="6" max="6" width="24" hidden="0" customWidth="1"/>
    <x:col min="7" max="7" width="38" hidden="0" customWidth="1"/>
    <x:col min="8" max="8" width="12" hidden="0" customWidth="1"/>
  </x:cols>
  <x:sheetData>
    <x:row r="1">
      <x:c r="A1" s="182" t="str">
        <x:v>Scoring and CV Tailoring Guide</x:v>
      </x:c>
      <x:c r="B1" s="182"/>
      <x:c r="C1" s="182"/>
      <x:c r="D1" s="182"/>
      <x:c r="E1" s="182"/>
      <x:c r="F1" s="182"/>
      <x:c r="G1" s="182"/>
      <x:c r="H1" s="182"/>
    </x:row>
    <x:row r="2">
      <x:c r="A2" s="182"/>
      <x:c r="B2" s="182"/>
      <x:c r="C2" s="182"/>
      <x:c r="D2" s="182"/>
      <x:c r="E2" s="182"/>
      <x:c r="F2" s="182"/>
      <x:c r="G2" s="182"/>
      <x:c r="H2" s="182"/>
    </x:row>
    <x:row r="3">
      <x:c r="A3" s="184" t="str">
        <x:v>Scores use the sanitized CV: 4+ years, NUS MTech, CV/edge deployment, C++/Android, computational photography, evaluation loops, and multimodal workflows.</x:v>
      </x:c>
      <x:c r="B3" s="184"/>
      <x:c r="C3" s="184"/>
      <x:c r="D3" s="184"/>
      <x:c r="E3" s="184"/>
      <x:c r="F3" s="184"/>
      <x:c r="G3" s="184"/>
      <x:c r="H3" s="184"/>
    </x:row>
    <x:row r="5">
      <x:c r="A5" s="3" t="str">
        <x:v>Dimension</x:v>
      </x:c>
      <x:c r="B5" s="3" t="str">
        <x:v>Max</x:v>
      </x:c>
      <x:c r="C5" s="3" t="str">
        <x:v>What is being tested</x:v>
      </x:c>
      <x:c r="E5" s="3" t="str">
        <x:v>Recommendation</x:v>
      </x:c>
      <x:c r="F5" s="3" t="str">
        <x:v>Rule</x:v>
      </x:c>
      <x:c r="G5" s="3" t="str">
        <x:v>Action</x:v>
      </x:c>
    </x:row>
    <x:row r="6">
      <x:c r="A6" s="26" t="str">
        <x:v>Role alignment</x:v>
      </x:c>
      <x:c r="B6" s="26" t="n">
        <x:v>25</x:v>
      </x:c>
      <x:c r="C6" s="26" t="str">
        <x:v>Direction match: FDE, production CV/edge, multimodal, or ML systems.</x:v>
      </x:c>
      <x:c r="E6" s="26" t="str">
        <x:v>Apply now</x:v>
      </x:c>
      <x:c r="F6" s="26" t="str">
        <x:v>Score &gt;= 88; active; no blocker</x:v>
      </x:c>
      <x:c r="G6" s="26" t="str">
        <x:v>Tailor and apply within 7 days.</x:v>
      </x:c>
    </x:row>
    <x:row r="7">
      <x:c r="A7" s="27" t="str">
        <x:v>Evidence match</x:v>
      </x:c>
      <x:c r="B7" s="27" t="n">
        <x:v>25</x:v>
      </x:c>
      <x:c r="C7" s="27" t="str">
        <x:v>How directly the CV proves the role's core technical requirements.</x:v>
      </x:c>
      <x:c r="E7" s="27" t="str">
        <x:v>Targeted</x:v>
      </x:c>
      <x:c r="F7" s="27" t="str">
        <x:v>Score 80-87; active; no blocker</x:v>
      </x:c>
      <x:c r="G7" s="27" t="str">
        <x:v>Apply after high-priority roles with targeted edits.</x:v>
      </x:c>
    </x:row>
    <x:row r="8">
      <x:c r="A8" s="27" t="str">
        <x:v>Deployment overlap</x:v>
      </x:c>
      <x:c r="B8" s="27" t="n">
        <x:v>20</x:v>
      </x:c>
      <x:c r="C8" s="27" t="str">
        <x:v>Prototype-to-production, runtime, evaluation, integration, reliability, and handoff.</x:v>
      </x:c>
      <x:c r="E8" s="27" t="str">
        <x:v>Stretch</x:v>
      </x:c>
      <x:c r="F8" s="27" t="str">
        <x:v>Score 70-79; active; no blocker</x:v>
      </x:c>
      <x:c r="G8" s="27" t="str">
        <x:v>Apply selectively or after closing one evidence gap.</x:v>
      </x:c>
    </x:row>
    <x:row r="9">
      <x:c r="A9" s="27" t="str">
        <x:v>Seniority fit</x:v>
      </x:c>
      <x:c r="B9" s="27" t="n">
        <x:v>15</x:v>
      </x:c>
      <x:c r="C9" s="27" t="str">
        <x:v>Years, degree, ownership, leadership, and expected scope.</x:v>
      </x:c>
      <x:c r="E9" s="27" t="str">
        <x:v>Watchlist</x:v>
      </x:c>
      <x:c r="F9" s="27" t="str">
        <x:v>Listing status requires verification</x:v>
      </x:c>
      <x:c r="G9" s="27" t="str">
        <x:v>Confirm with company/recruiter before tailoring.</x:v>
      </x:c>
    </x:row>
    <x:row r="10">
      <x:c r="A10" s="27" t="str">
        <x:v>Market upside</x:v>
      </x:c>
      <x:c r="B10" s="27" t="n">
        <x:v>10</x:v>
      </x:c>
      <x:c r="C10" s="27" t="str">
        <x:v>Role quality, career option value, company/platform signal, and learning leverage.</x:v>
      </x:c>
      <x:c r="E10" s="28" t="str">
        <x:v>Blocked / verify</x:v>
      </x:c>
      <x:c r="F10" s="28" t="str">
        <x:v>Citizenship or sponsorship gate</x:v>
      </x:c>
      <x:c r="G10" s="28" t="str">
        <x:v>Confirm eligibility before any application work.</x:v>
      </x:c>
    </x:row>
    <x:row r="11">
      <x:c r="A11" s="28" t="str">
        <x:v>Access / friction</x:v>
      </x:c>
      <x:c r="B11" s="28" t="n">
        <x:v>5</x:v>
      </x:c>
      <x:c r="C11" s="28" t="str">
        <x:v>Freshness, work authorization, travel, domain gates, and application feasibility.</x:v>
      </x:c>
    </x:row>
    <x:row r="14">
      <x:c r="A14" s="185" t="str">
        <x:v>Use three CV narratives, not one generic CV</x:v>
      </x:c>
      <x:c r="B14" s="185"/>
      <x:c r="C14" s="185"/>
      <x:c r="D14" s="185"/>
      <x:c r="E14" s="185"/>
      <x:c r="F14" s="185"/>
      <x:c r="G14" s="185"/>
      <x:c r="H14" s="185"/>
    </x:row>
    <x:row r="15">
      <x:c r="A15" s="186" t="str">
        <x:v>Variant</x:v>
      </x:c>
      <x:c r="B15" s="186" t="str">
        <x:v>Use for</x:v>
      </x:c>
      <x:c r="C15" s="186" t="str">
        <x:v>Headline</x:v>
      </x:c>
      <x:c r="D15" s="186" t="str">
        <x:v>Must include</x:v>
      </x:c>
      <x:c r="E15" s="186" t="str">
        <x:v>Do not lead with</x:v>
      </x:c>
    </x:row>
    <x:row r="16" ht="60" customHeight="1">
      <x:c r="A16" s="26" t="str">
        <x:v>FDE / Solutions</x:v>
      </x:c>
      <x:c r="B16" s="26" t="str">
        <x:v>OpenAI, Google, Arize, Cohere, BytePlus, Resaro</x:v>
      </x:c>
      <x:c r="C16" s="26" t="str">
        <x:v>Forward-Deployed AI Engineer</x:v>
      </x:c>
      <x:c r="D16" s="26" t="str">
        <x:v>Discovery; scoping; prototype-to-production; evals; integration; customer issues; handoff</x:v>
      </x:c>
      <x:c r="E16" s="26" t="str">
        <x:v>Long lists of CV algorithms without customer or business context</x:v>
      </x:c>
    </x:row>
    <x:row r="17" ht="60" customHeight="1">
      <x:c r="A17" s="27" t="str">
        <x:v>CV / Edge</x:v>
      </x:c>
      <x:c r="B17" s="27" t="str">
        <x:v>Polybee, Dyson, Genesis, Rapsodo, LionsBot</x:v>
      </x:c>
      <x:c r="C17" s="27" t="str">
        <x:v>Computer Vision / Edge ML Engineer</x:v>
      </x:c>
      <x:c r="D17" s="27" t="str">
        <x:v>Segmentation; matting; depth; C++/Android; TFLite/ONNX/TensorRT; hard cases; runtime</x:v>
      </x:c>
      <x:c r="E17" s="27" t="str">
        <x:v>Generic LLM claims or agent tooling that displaces core CV evidence</x:v>
      </x:c>
    </x:row>
    <x:row r="18" ht="60" customHeight="1">
      <x:c r="A18" s="28" t="str">
        <x:v>Applied / Multimodal</x:v>
      </x:c>
      <x:c r="B18" s="28" t="str">
        <x:v>Razer, TikTok, PERSOL, Woh Hup</x:v>
      </x:c>
      <x:c r="C18" s="28" t="str">
        <x:v>Applied AI Engineer - Vision &amp; Multimodal Systems</x:v>
      </x:c>
      <x:c r="D18" s="28" t="str">
        <x:v>VLM workflows; structured outputs; evaluation; services; deployment; quality/latency trade-offs</x:v>
      </x:c>
      <x:c r="E18" s="28" t="str">
        <x:v>Prompt-engineering-only language without systems and evaluation proof</x:v>
      </x:c>
    </x:row>
    <x:row r="21">
      <x:c r="A21" s="185" t="str">
        <x:v>Important assumptions and limits</x:v>
      </x:c>
      <x:c r="B21" s="185"/>
      <x:c r="C21" s="185"/>
      <x:c r="D21" s="185"/>
      <x:c r="E21" s="185"/>
      <x:c r="F21" s="185"/>
      <x:c r="G21" s="185"/>
      <x:c r="H21" s="185"/>
    </x:row>
    <x:row r="22" ht="32" customHeight="1">
      <x:c r="A22" s="175" t="str">
        <x:v>Job availability changes quickly. Source Status and Checked Date are included so every listing can be revalidated before applying.</x:v>
      </x:c>
      <x:c r="B22" s="175"/>
      <x:c r="C22" s="175"/>
      <x:c r="D22" s="175"/>
      <x:c r="E22" s="175"/>
      <x:c r="F22" s="175"/>
      <x:c r="G22" s="175"/>
      <x:c r="H22" s="175"/>
    </x:row>
    <x:row r="23" ht="32" customHeight="1">
      <x:c r="A23" s="180" t="str">
        <x:v>Estimated Posted Date is calculated from the relative age shown by the source and may differ by one or more days.</x:v>
      </x:c>
      <x:c r="B23" s="180"/>
      <x:c r="C23" s="180"/>
      <x:c r="D23" s="180"/>
      <x:c r="E23" s="180"/>
      <x:c r="F23" s="180"/>
      <x:c r="G23" s="180"/>
      <x:c r="H23" s="180"/>
    </x:row>
    <x:row r="24" ht="32" customHeight="1">
      <x:c r="A24" s="175" t="str">
        <x:v>Work authorization was not provided. Roles stating Singapore-citizen-only or no sponsorship are marked Blocked / verify.</x:v>
      </x:c>
      <x:c r="B24" s="175"/>
      <x:c r="C24" s="175"/>
      <x:c r="D24" s="175"/>
      <x:c r="E24" s="175"/>
      <x:c r="F24" s="175"/>
      <x:c r="G24" s="175"/>
      <x:c r="H24" s="175"/>
    </x:row>
    <x:row r="25" ht="32" customHeight="1">
      <x:c r="A25" s="180" t="str">
        <x:v>Salary is left as Not disclosed unless the listing explicitly publishes it. No market salary estimates were invented.</x:v>
      </x:c>
      <x:c r="B25" s="180"/>
      <x:c r="C25" s="180"/>
      <x:c r="D25" s="180"/>
      <x:c r="E25" s="180"/>
      <x:c r="F25" s="180"/>
      <x:c r="G25" s="180"/>
      <x:c r="H25" s="180"/>
    </x:row>
    <x:row r="26" ht="32" customHeight="1">
      <x:c r="A26" s="175" t="str">
        <x:v>Match scores are a prioritization tool, not a probability of offer. Referral quality and role-specific evidence can change outcomes materially.</x:v>
      </x:c>
      <x:c r="B26" s="175"/>
      <x:c r="C26" s="175"/>
      <x:c r="D26" s="175"/>
      <x:c r="E26" s="175"/>
      <x:c r="F26" s="175"/>
      <x:c r="G26" s="175"/>
      <x:c r="H26" s="175"/>
    </x:row>
  </x:sheetData>
  <x:mergeCells>
    <x:mergeCell ref="A1:H2"/>
    <x:mergeCell ref="A3:H3"/>
    <x:mergeCell ref="A14:H14"/>
    <x:mergeCell ref="A21:H21"/>
    <x:mergeCell ref="A22:H22"/>
    <x:mergeCell ref="A23:H23"/>
    <x:mergeCell ref="A24:H24"/>
    <x:mergeCell ref="A25:H25"/>
    <x:mergeCell ref="A26:H26"/>
  </x:mergeCells>
  <x:conditionalFormatting sqref="E6:E10">
    <x:cfRule type="containsText" dxfId="11" priority="1" operator="containsText" text="Apply now"/>
    <x:cfRule type="containsText" dxfId="12" priority="2" operator="containsText" text="Targeted"/>
    <x:cfRule type="containsText" dxfId="13" priority="3" operator="containsText" text="Stretch"/>
    <x:cfRule type="containsText" dxfId="14" priority="4" operator="containsText" text="Blocked"/>
  </x:conditionalFormatting>
  <x:pageMargins left="0.7" right="0.7" top="0.75" bottom="0.75" header="0.3" footer="0.3"/>
</x:worksheet>
</file>